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1.xml" ContentType="application/vnd.ms-excel.documenttask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documenttasks/documenttask2.xml" ContentType="application/vnd.ms-excel.documenttask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604092\Desktop\uploadtoaem\"/>
    </mc:Choice>
  </mc:AlternateContent>
  <xr:revisionPtr revIDLastSave="0" documentId="8_{4D49716A-C5BC-4B06-9E10-C6A236B19466}" xr6:coauthVersionLast="47" xr6:coauthVersionMax="47" xr10:uidLastSave="{00000000-0000-0000-0000-000000000000}"/>
  <bookViews>
    <workbookView xWindow="10720" yWindow="2990" windowWidth="23910" windowHeight="12990" firstSheet="4" activeTab="2" xr2:uid="{AF9F14DD-E9D6-4093-8F1F-A74DCC2E59BD}"/>
  </bookViews>
  <sheets>
    <sheet name="2026 Project" sheetId="12" r:id="rId1"/>
    <sheet name="HANDHELD 2024" sheetId="11" state="hidden" r:id="rId2"/>
    <sheet name="LAPTOP 2026" sheetId="13" r:id="rId3"/>
    <sheet name="DEKSTOP 2026" sheetId="16" r:id="rId4"/>
    <sheet name="HANDHELD 2026" sheetId="17" r:id="rId5"/>
    <sheet name="LAPTOP 2025" sheetId="6" r:id="rId6"/>
    <sheet name="DEKSTOP 2025" sheetId="2" r:id="rId7"/>
    <sheet name="2025 Project" sheetId="7" r:id="rId8"/>
    <sheet name="LAPTOP 2024" sheetId="1" r:id="rId9"/>
    <sheet name="NETWORKING 2024" sheetId="3" state="hidden" r:id="rId10"/>
    <sheet name="DEKSTOP 2024" sheetId="10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</externalReferences>
  <definedNames>
    <definedName name="\a">'[1]FA-LISTING'!#REF!</definedName>
    <definedName name="\b">'[1]FA-LISTING'!#REF!</definedName>
    <definedName name="\c">#N/A</definedName>
    <definedName name="\p">'[1]FA-LISTING'!#REF!</definedName>
    <definedName name="_2" hidden="1">#REF!</definedName>
    <definedName name="_2__BCR_engine">#REF!</definedName>
    <definedName name="_25_pin_Cable">#REF!</definedName>
    <definedName name="_dodo" hidden="1">[2]BREAKDOWN!#REF!</definedName>
    <definedName name="_EMS753">#REF!</definedName>
    <definedName name="_er4">#REF!</definedName>
    <definedName name="_Fill" hidden="1">#REF!</definedName>
    <definedName name="_Key1" hidden="1">#REF!</definedName>
    <definedName name="_Order1" hidden="1">255</definedName>
    <definedName name="_Parse_Out" hidden="1">[2]BREAKDOWN!#REF!</definedName>
    <definedName name="_pn1">#REF!</definedName>
    <definedName name="_pn2">#REF!</definedName>
    <definedName name="_pn3">#REF!</definedName>
    <definedName name="_pn4">#REF!</definedName>
    <definedName name="_pn5">#REF!</definedName>
    <definedName name="_pn6">#REF!</definedName>
    <definedName name="_pn7">#REF!</definedName>
    <definedName name="_pn8">#REF!</definedName>
    <definedName name="_Sort" hidden="1">#REF!</definedName>
    <definedName name="_w1">#REF!</definedName>
    <definedName name="_w2">#REF!</definedName>
    <definedName name="A">#REF!</definedName>
    <definedName name="a0">#REF!</definedName>
    <definedName name="a100000000">#REF!</definedName>
    <definedName name="A30Cap" hidden="1">{"'Jan'!$AC$129:$AC$169"}</definedName>
    <definedName name="aa" hidden="1">{"'Jan'!$AC$129:$AC$169"}</definedName>
    <definedName name="aaa">'[3]wsp 12-03'!$1:$1048576</definedName>
    <definedName name="aab">'[3]wsp 12-03'!$A:$A</definedName>
    <definedName name="AAP">'[4]AP Royalty table'!$F$6</definedName>
    <definedName name="ab">[5]Contents!#REF!</definedName>
    <definedName name="Abbreviation">#REF!</definedName>
    <definedName name="abc">#REF!</definedName>
    <definedName name="ACBAD">#REF!</definedName>
    <definedName name="actCap">#REF!</definedName>
    <definedName name="actEVA">#REF!</definedName>
    <definedName name="actOP">#REF!</definedName>
    <definedName name="actOth">#REF!</definedName>
    <definedName name="actRev">#REF!</definedName>
    <definedName name="AD">#REF!</definedName>
    <definedName name="added" hidden="1">{"'TUS8803'!$X$4:$X$5","'TUS8803'!$X$4:$X$5"}</definedName>
    <definedName name="adfasdfdfgfg">'[6]IS-01'!#REF!</definedName>
    <definedName name="AgedQ">#REF!</definedName>
    <definedName name="alicia">#REF!</definedName>
    <definedName name="Allocation_Last_Line">#REF!</definedName>
    <definedName name="Allocation_Line_Number">#REF!</definedName>
    <definedName name="Allocation_Pre_Tax_Royalty">#REF!</definedName>
    <definedName name="Allocation_Totals_Last_Col">#REF!</definedName>
    <definedName name="Allocation_Totals_Last_Line">#REF!</definedName>
    <definedName name="Allocation_Totals_Line_Number">#REF!</definedName>
    <definedName name="Apr_04_B">'[7]IS-01'!#REF!</definedName>
    <definedName name="apr_05_b">'[8]IS-01'!#REF!</definedName>
    <definedName name="as">'[6]IS-01'!#REF!</definedName>
    <definedName name="ASB">#REF!</definedName>
    <definedName name="asdf">'[6]IS-01'!#REF!</definedName>
    <definedName name="asdfasdf">'[6]IS-01'!#REF!</definedName>
    <definedName name="Assembly_and_Test_defect_symptom">#REF!</definedName>
    <definedName name="Assy_FT_Top_10">#REF!</definedName>
    <definedName name="at">#REF!</definedName>
    <definedName name="ATRAC_Not_MD_Non_Patent_LD_Totals">#REF!</definedName>
    <definedName name="ATRAC_Not_MD_Patent_LD_Totals">#REF!</definedName>
    <definedName name="Aug_08_B">'[7]IS-01'!#REF!</definedName>
    <definedName name="AVL">#REF!</definedName>
    <definedName name="AVL_1_0_20050128">#REF!</definedName>
    <definedName name="AVL_1_0_20050202">#REF!</definedName>
    <definedName name="AVL_1_0_20050622">#REF!</definedName>
    <definedName name="AVL_1_0_20060322">#REF!</definedName>
    <definedName name="AVLC">#REF!</definedName>
    <definedName name="b">#REF!</definedName>
    <definedName name="Battery" localSheetId="10">[9]!Battery</definedName>
    <definedName name="Battery" localSheetId="6">[9]!Battery</definedName>
    <definedName name="Battery" localSheetId="3">[9]!Battery</definedName>
    <definedName name="Battery" localSheetId="4">[9]!Battery</definedName>
    <definedName name="Battery" localSheetId="5">[9]!Battery</definedName>
    <definedName name="Battery" localSheetId="9">[9]!Battery</definedName>
    <definedName name="Battery">[9]!Battery</definedName>
    <definedName name="bb">#REF!</definedName>
    <definedName name="bbb">#REF!</definedName>
    <definedName name="BCR_engine">#REF!</definedName>
    <definedName name="BDC">#REF!</definedName>
    <definedName name="BIGPRINT">#REF!</definedName>
    <definedName name="BL1208bl105">#REF!</definedName>
    <definedName name="BLDATA">#REF!</definedName>
    <definedName name="BLDATE">#REF!</definedName>
    <definedName name="BLDG">'[1]FA-LISTING'!#REF!</definedName>
    <definedName name="BLDGIMP">'[1]FA-LISTING'!#REF!</definedName>
    <definedName name="BLDGREV">'[1]FA-LISTING'!#REF!</definedName>
    <definedName name="BLPN">#REF!</definedName>
    <definedName name="BOM">#REF!</definedName>
    <definedName name="bpnov">#REF!</definedName>
    <definedName name="bpoct">#REF!</definedName>
    <definedName name="bt">#REF!</definedName>
    <definedName name="BuiltIn_AutoFilter___1">#REF!</definedName>
    <definedName name="Buying">#REF!</definedName>
    <definedName name="Cable" localSheetId="10">[9]!Cable</definedName>
    <definedName name="Cable" localSheetId="6">[9]!Cable</definedName>
    <definedName name="Cable" localSheetId="3">[9]!Cable</definedName>
    <definedName name="Cable" localSheetId="4">[9]!Cable</definedName>
    <definedName name="Cable" localSheetId="5">[9]!Cable</definedName>
    <definedName name="Cable" localSheetId="9">[9]!Cable</definedName>
    <definedName name="Cable">[9]!Cable</definedName>
    <definedName name="Cal">#REF!</definedName>
    <definedName name="Cause_Category">#REF!</definedName>
    <definedName name="cc">#REF!</definedName>
    <definedName name="CCC" localSheetId="10">[10]!Battery</definedName>
    <definedName name="CCC" localSheetId="6">[10]!Battery</definedName>
    <definedName name="CCC" localSheetId="3">[10]!Battery</definedName>
    <definedName name="CCC" localSheetId="4">[10]!Battery</definedName>
    <definedName name="CCC" localSheetId="5">[10]!Battery</definedName>
    <definedName name="CCC" localSheetId="9">[10]!Battery</definedName>
    <definedName name="CCC">[10]!Battery</definedName>
    <definedName name="CDE">#REF!</definedName>
    <definedName name="CDKit">[11]CD_kit!$B$2:$D$26</definedName>
    <definedName name="CDkit_rev">[12]CD_kit!$D$2:$G$35</definedName>
    <definedName name="CFDA">#REF!</definedName>
    <definedName name="CFDT">#REF!</definedName>
    <definedName name="CFPN">#REF!</definedName>
    <definedName name="cgsd">'[6]IS-01'!#REF!</definedName>
    <definedName name="Charger" localSheetId="10">[9]!Charger</definedName>
    <definedName name="Charger" localSheetId="6">[9]!Charger</definedName>
    <definedName name="Charger" localSheetId="3">[9]!Charger</definedName>
    <definedName name="Charger" localSheetId="4">[9]!Charger</definedName>
    <definedName name="Charger" localSheetId="5">[9]!Charger</definedName>
    <definedName name="Charger" localSheetId="9">[9]!Charger</definedName>
    <definedName name="Charger">[9]!Charger</definedName>
    <definedName name="Charger2">#N/A</definedName>
    <definedName name="chassis">#REF!</definedName>
    <definedName name="Choice">[13]Working!$C$2:$C$3</definedName>
    <definedName name="CK">#REF!</definedName>
    <definedName name="ckits">#REF!</definedName>
    <definedName name="Clean_cloth">#REF!</definedName>
    <definedName name="CO_DA">[14]CORAM!$1:$1048576</definedName>
    <definedName name="CO_Data">#REF!</definedName>
    <definedName name="CO_Date">#REF!</definedName>
    <definedName name="CO_DT">[14]CORAM!$4:$4</definedName>
    <definedName name="CO_PN">[14]CORAM!$A:$A</definedName>
    <definedName name="COCPU_Data">[15]COHDD!$1:$1048576</definedName>
    <definedName name="COCPU_Date">[15]COHDD!$4:$4</definedName>
    <definedName name="COCPU_PN">[15]COHDD!$A:$A</definedName>
    <definedName name="Commodity">#REF!</definedName>
    <definedName name="COMP">'[1]FA-LISTING'!#REF!</definedName>
    <definedName name="Company_Name">#REF!</definedName>
    <definedName name="Component">#REF!</definedName>
    <definedName name="Copy_Source">#REF!</definedName>
    <definedName name="Cord" localSheetId="10">[9]!Cord</definedName>
    <definedName name="Cord" localSheetId="6">[9]!Cord</definedName>
    <definedName name="Cord" localSheetId="3">[9]!Cord</definedName>
    <definedName name="Cord" localSheetId="4">[9]!Cord</definedName>
    <definedName name="Cord" localSheetId="5">[9]!Cord</definedName>
    <definedName name="Cord" localSheetId="9">[9]!Cord</definedName>
    <definedName name="Cord">[9]!Cord</definedName>
    <definedName name="Cost_of_base_unit__color">#REF!</definedName>
    <definedName name="Cost_of_base_unit__mono">#REF!</definedName>
    <definedName name="Country">#REF!</definedName>
    <definedName name="Country_Made_In">#REF!</definedName>
    <definedName name="Country_Sold_In">#REF!</definedName>
    <definedName name="CountryKit">#REF!</definedName>
    <definedName name="CountryName">#REF!</definedName>
    <definedName name="CPU" localSheetId="10">[9]!CPU</definedName>
    <definedName name="CPU" localSheetId="6">[9]!CPU</definedName>
    <definedName name="CPU" localSheetId="3">[9]!CPU</definedName>
    <definedName name="CPU" localSheetId="4">[9]!CPU</definedName>
    <definedName name="CPU" localSheetId="5">[9]!CPU</definedName>
    <definedName name="CPU" localSheetId="9">[9]!CPU</definedName>
    <definedName name="CPU">[9]!CPU</definedName>
    <definedName name="CPU_DATE">#REF!</definedName>
    <definedName name="CPU_DEMAND">#REF!</definedName>
    <definedName name="CPU_PN">#REF!</definedName>
    <definedName name="CPUSUPY_DATA">[15]HDDReceive!$1:$1048576</definedName>
    <definedName name="CPUSUPY_DATE">[15]HDDReceive!$4:$4</definedName>
    <definedName name="CPUSUPY_PN">[15]HDDReceive!$A:$A</definedName>
    <definedName name="_xlnm.Criteria">'[7]IS-01'!#REF!</definedName>
    <definedName name="csDesignMode">1</definedName>
    <definedName name="Currency_Code">[13]Working!$A$2:$A$40</definedName>
    <definedName name="CX">#REF!</definedName>
    <definedName name="D">#REF!</definedName>
    <definedName name="data">[16]data!$1:$1048576</definedName>
    <definedName name="data2">#REF!</definedName>
    <definedName name="_xlnm.Database">#REF!</definedName>
    <definedName name="DATABASE2">#REF!</definedName>
    <definedName name="datac">#REF!</definedName>
    <definedName name="Date">#REF!</definedName>
    <definedName name="date1">'[17]wsp 01-07'!$2:$2</definedName>
    <definedName name="date12">'[18]Askey MB44(MOW)'!$A:$A</definedName>
    <definedName name="DATE2">#REF!</definedName>
    <definedName name="DATE4">[19]Sheet2!$2:$2</definedName>
    <definedName name="dates">#REF!</definedName>
    <definedName name="datex">#REF!</definedName>
    <definedName name="DB">[20]TOOL!$1:$1048576</definedName>
    <definedName name="DBCO">#REF!</definedName>
    <definedName name="DBFCST">#REF!</definedName>
    <definedName name="DBMB51">#REF!</definedName>
    <definedName name="DBSDD">#REF!</definedName>
    <definedName name="dcp">#REF!</definedName>
    <definedName name="DD">#REF!</definedName>
    <definedName name="DDA">#REF!</definedName>
    <definedName name="DDCD_2_Non_Patent_LD_Totals">#REF!</definedName>
    <definedName name="DDCD_2_Patent_LD_Totals">#REF!</definedName>
    <definedName name="DDCD_5_Non_Patent_LD_Totals">#REF!</definedName>
    <definedName name="DDCD_5_Patent_LD_Totals">#REF!</definedName>
    <definedName name="DDCD_Other_Non_Patent_LD_Totals">#REF!</definedName>
    <definedName name="DDCD_Other_Patent_LD_Totals">#REF!</definedName>
    <definedName name="DDCE_2_Patent_LD_Totals">#REF!</definedName>
    <definedName name="DDCE_2_TM_KH_CR_LD_Totals">#REF!</definedName>
    <definedName name="DE">[21]FG!$C$7</definedName>
    <definedName name="Dec" hidden="1">{"'TUS8803'!$X$4:$X$5","'TUS8803'!$X$4:$X$5"}</definedName>
    <definedName name="Dec_12_B">'[7]IS-01'!#REF!</definedName>
    <definedName name="DESIGN_HM_THEATER_COST_PER_PRODUCT">[22]Configuration!#REF!</definedName>
    <definedName name="DESIGN_MR_STUDIO_COST_PER_PRODUCT">[22]Configuration!#REF!</definedName>
    <definedName name="DESKTOP" localSheetId="10">[9]!Battery</definedName>
    <definedName name="DESKTOP" localSheetId="3">[9]!Battery</definedName>
    <definedName name="DESKTOP" localSheetId="4">[9]!Battery</definedName>
    <definedName name="DESKTOP">[9]!Battery</definedName>
    <definedName name="dfgh">'[6]IS-01'!#REF!</definedName>
    <definedName name="dfgs">'[6]IS-01'!#REF!</definedName>
    <definedName name="DODA">#REF!</definedName>
    <definedName name="Dolby_EX_Non_Patent_LD_Totals">#REF!</definedName>
    <definedName name="Dolby_EX_Patent_LD_Totals">#REF!</definedName>
    <definedName name="Dolby_H_Non_Patent_LD_Totals">#REF!</definedName>
    <definedName name="Dolby_H_Patent_LD_Totals">#REF!</definedName>
    <definedName name="Dolby_Surround_Non_Pat_LD_Totals">#REF!</definedName>
    <definedName name="Dolby_Surround_Patent_LD_Totals">#REF!</definedName>
    <definedName name="Dolby_Technology_Code">#REF!</definedName>
    <definedName name="Dolby_Technology_Code_ID">#REF!</definedName>
    <definedName name="Dolby_VS_Non_Patent_LD_Totals">#REF!</definedName>
    <definedName name="Dolby_VS_Patent_LD_Totals">#REF!</definedName>
    <definedName name="DPT">#REF!</definedName>
    <definedName name="DriverCD">'[4]AP Royalty table'!$D$11</definedName>
    <definedName name="drop" hidden="1">{"'Template'!$A$1:$I$70","'Monitor'!$A$1:$N$6","'Desktop'!$A$1:$N$6","'Laptop'!$A$1:$N$6"}</definedName>
    <definedName name="DSA">#REF!</definedName>
    <definedName name="DSM_DT">#REF!</definedName>
    <definedName name="dt">#REF!</definedName>
    <definedName name="e">#REF!</definedName>
    <definedName name="EE" hidden="1">{"'Jan'!$AC$129:$AC$169"}</definedName>
    <definedName name="EFG">#REF!</definedName>
    <definedName name="END">#REF!</definedName>
    <definedName name="Entry">#REF!</definedName>
    <definedName name="erwgtwyew" localSheetId="10">[23]!MiniPCI</definedName>
    <definedName name="erwgtwyew" localSheetId="6">[23]!MiniPCI</definedName>
    <definedName name="erwgtwyew" localSheetId="3">[23]!MiniPCI</definedName>
    <definedName name="erwgtwyew" localSheetId="4">[23]!MiniPCI</definedName>
    <definedName name="erwgtwyew" localSheetId="5">[23]!MiniPCI</definedName>
    <definedName name="erwgtwyew" localSheetId="9">[23]!MiniPCI</definedName>
    <definedName name="erwgtwyew">[23]!MiniPCI</definedName>
    <definedName name="et">#REF!</definedName>
    <definedName name="EV__EXPOPTIONS__" hidden="1">0</definedName>
    <definedName name="EV__LASTREFTIME__" hidden="1">39793.8183333333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134217728</definedName>
    <definedName name="EV__WBVERSION__" hidden="1">0</definedName>
    <definedName name="excel" hidden="1">{"'Template'!$A$1:$I$70","'Monitor'!$A$1:$N$6","'Desktop'!$A$1:$N$6","'Laptop'!$A$1:$N$6"}</definedName>
    <definedName name="_xlnm.Extract">#REF!</definedName>
    <definedName name="f">#REF!</definedName>
    <definedName name="F_A_Codes">#REF!</definedName>
    <definedName name="F_A_Symptoms">#REF!</definedName>
    <definedName name="F_SM">#REF!</definedName>
    <definedName name="faaaa" hidden="1">{"'Jan'!$AC$129:$AC$169"}</definedName>
    <definedName name="faaaaa" hidden="1">{"'Jan'!$AC$129:$AC$169"}</definedName>
    <definedName name="FCSTData">[14]GraceFCST!$1:$1048576</definedName>
    <definedName name="FCSTDate">[14]GraceFCST!$2:$2</definedName>
    <definedName name="FCSTPN">[14]GraceFCST!$A:$A</definedName>
    <definedName name="FDATE">[24]FO!$5:$5</definedName>
    <definedName name="FDD" localSheetId="10">[9]!FDD</definedName>
    <definedName name="FDD" localSheetId="6">[9]!FDD</definedName>
    <definedName name="FDD" localSheetId="3">[9]!FDD</definedName>
    <definedName name="FDD" localSheetId="4">[9]!FDD</definedName>
    <definedName name="FDD" localSheetId="5">[9]!FDD</definedName>
    <definedName name="FDD" localSheetId="9">[9]!FDD</definedName>
    <definedName name="FDD">[9]!FDD</definedName>
    <definedName name="FDDATA">#REF!</definedName>
    <definedName name="FDDT">#REF!</definedName>
    <definedName name="FDHPPN">#REF!</definedName>
    <definedName name="Feb_02_B">'[7]IS-01'!#REF!</definedName>
    <definedName name="Ferrari" localSheetId="10">[9]!Ferrari</definedName>
    <definedName name="Ferrari" localSheetId="6">[9]!Ferrari</definedName>
    <definedName name="Ferrari" localSheetId="3">[9]!Ferrari</definedName>
    <definedName name="Ferrari" localSheetId="4">[9]!Ferrari</definedName>
    <definedName name="Ferrari" localSheetId="5">[9]!Ferrari</definedName>
    <definedName name="Ferrari" localSheetId="9">[9]!Ferrari</definedName>
    <definedName name="Ferrari">[9]!Ferrari</definedName>
    <definedName name="FF">'[1]FA-LISTING'!#REF!</definedName>
    <definedName name="FG">#REF!</definedName>
    <definedName name="fghj">'[6]IS-01'!#REF!</definedName>
    <definedName name="fghkjk">#REF!</definedName>
    <definedName name="filename">CELL("filename",'[25]Demand&amp;Supply'!A1048575)</definedName>
    <definedName name="Final_Shortaage_report">#REF!</definedName>
    <definedName name="FO">[24]FO!$1:$1048576</definedName>
    <definedName name="FORK">'[1]FA-LISTING'!#REF!</definedName>
    <definedName name="fortworth_Combo">#REF!</definedName>
    <definedName name="Forwarder">[26]Forwarder_Plan!$A$2:$B$21</definedName>
    <definedName name="FPN">[24]FO!$A:$A</definedName>
    <definedName name="FRUPN">'[27]FRU demand'!$B:$B</definedName>
    <definedName name="FRUQTY">'[27]FRU demand'!$C:$C</definedName>
    <definedName name="fsvgaf" hidden="1">{"'Jan'!$AC$129:$AC$169"}</definedName>
    <definedName name="ft">#REF!</definedName>
    <definedName name="g">#REF!</definedName>
    <definedName name="gg" hidden="1">#REF!</definedName>
    <definedName name="gh" hidden="1">{"'Template'!$A$1:$I$70","'Monitor'!$A$1:$N$6","'Desktop'!$A$1:$N$6","'Laptop'!$A$1:$N$6"}</definedName>
    <definedName name="ghjfghj">'[6]IS-01'!#REF!</definedName>
    <definedName name="ghjk">'[6]IS-01'!#REF!</definedName>
    <definedName name="ghjkty">'[28]Sum-Y02'!Macro2_Consolidation_Sum_Y10</definedName>
    <definedName name="gjk">'[6]IS-01'!#REF!</definedName>
    <definedName name="gt">#REF!</definedName>
    <definedName name="GUI">#REF!</definedName>
    <definedName name="Guide" localSheetId="10">[9]!Guide</definedName>
    <definedName name="Guide" localSheetId="6">[9]!Guide</definedName>
    <definedName name="Guide" localSheetId="3">[9]!Guide</definedName>
    <definedName name="Guide" localSheetId="4">[9]!Guide</definedName>
    <definedName name="Guide" localSheetId="5">[9]!Guide</definedName>
    <definedName name="Guide" localSheetId="9">[9]!Guide</definedName>
    <definedName name="Guide">[9]!Guide</definedName>
    <definedName name="h">#REF!</definedName>
    <definedName name="HDD" localSheetId="10">[9]!HDD</definedName>
    <definedName name="HDD" localSheetId="6">[9]!HDD</definedName>
    <definedName name="HDD" localSheetId="3">[9]!HDD</definedName>
    <definedName name="HDD" localSheetId="4">[9]!HDD</definedName>
    <definedName name="HDD" localSheetId="5">[9]!HDD</definedName>
    <definedName name="HDD" localSheetId="9">[9]!HDD</definedName>
    <definedName name="HDD">[9]!HDD</definedName>
    <definedName name="HDD_120MB">#REF!</definedName>
    <definedName name="HDD_200MB">#REF!</definedName>
    <definedName name="HDD_80MB">#REF!</definedName>
    <definedName name="hdflkdsjfk">#REF!</definedName>
    <definedName name="heatsink">'[29]FA-LISTING'!#REF!</definedName>
    <definedName name="Historical">#REF!</definedName>
    <definedName name="hkdhfk">#REF!</definedName>
    <definedName name="HM_THEATER_COST_PER_PRODUCT">[22]Configuration!#REF!</definedName>
    <definedName name="HP_PARTS">#REF!</definedName>
    <definedName name="hppn">[30]Sheet1!$A:$A</definedName>
    <definedName name="HQ">[21]FG!$C$5</definedName>
    <definedName name="ht">#REF!</definedName>
    <definedName name="HTML_CodePage" hidden="1">950</definedName>
    <definedName name="HTML_Control" hidden="1">{"'Jan'!$AC$129:$AC$169"}</definedName>
    <definedName name="HTML_Control2" hidden="1">{"'Jan'!$AC$129:$AC$169"}</definedName>
    <definedName name="HTML_Description" hidden="1">""</definedName>
    <definedName name="HTML_Email" hidden="1">""</definedName>
    <definedName name="HTML_Header" hidden="1">""</definedName>
    <definedName name="HTML_LastUpdate" hidden="1">"1997/12/18"</definedName>
    <definedName name="HTML_LineAfter" hidden="1">FALSE</definedName>
    <definedName name="HTML_LineBefore" hidden="1">FALSE</definedName>
    <definedName name="HTML_Name" hidden="1">"Louise Chen"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"C:\WEBSHARE\WWWROOT\Compal\DELL\TWISTER\Packing\Cosmetic\pcd.htm"</definedName>
    <definedName name="HTML_PathTemplate" hidden="1">"C:\WEBSHARE\WWWROOT\Compal\DELL\TWISTER\Packing\Cosmetic\dellpctwd.htm"</definedName>
    <definedName name="HTML_Title" hidden="1">""</definedName>
    <definedName name="HTML2_Control" hidden="1">{"'Jan'!$AC$129:$AC$169"}</definedName>
    <definedName name="HX_Pro__Non_Pat_LD_Totals">#REF!</definedName>
    <definedName name="HX_Pro__Patent_LD_Totals">#REF!</definedName>
    <definedName name="i">#REF!</definedName>
    <definedName name="ILI">#REF!</definedName>
    <definedName name="it">#REF!</definedName>
    <definedName name="items">#REF!</definedName>
    <definedName name="j">#REF!</definedName>
    <definedName name="Jan_01_B">'[7]IS-01'!#REF!</definedName>
    <definedName name="JMMS">#REF!</definedName>
    <definedName name="Jul_07_B">'[7]IS-01'!#REF!</definedName>
    <definedName name="Jun_06_B">'[7]IS-01'!#REF!</definedName>
    <definedName name="junk">'[31]KT1 Qual'!$A$7</definedName>
    <definedName name="K2_WBEVMODE" hidden="1">-1</definedName>
    <definedName name="KB" localSheetId="10">[9]!KB</definedName>
    <definedName name="KB" localSheetId="6">[9]!KB</definedName>
    <definedName name="KB" localSheetId="3">[9]!KB</definedName>
    <definedName name="KB" localSheetId="4">[9]!KB</definedName>
    <definedName name="KB" localSheetId="5">[9]!KB</definedName>
    <definedName name="KB" localSheetId="9">[9]!KB</definedName>
    <definedName name="KB">[9]!KB</definedName>
    <definedName name="kbPN">'[32]zsdr82 Tab.'!$A:$A</definedName>
    <definedName name="key">#REF!</definedName>
    <definedName name="Kit" localSheetId="10">[9]!Kit</definedName>
    <definedName name="Kit" localSheetId="6">[9]!Kit</definedName>
    <definedName name="Kit" localSheetId="3">[9]!Kit</definedName>
    <definedName name="Kit" localSheetId="4">[9]!Kit</definedName>
    <definedName name="Kit" localSheetId="5">[9]!Kit</definedName>
    <definedName name="Kit" localSheetId="9">[9]!Kit</definedName>
    <definedName name="Kit">[9]!Kit</definedName>
    <definedName name="L_X">#REF!</definedName>
    <definedName name="LANDIMP">'[1]FA-LISTING'!#REF!</definedName>
    <definedName name="LANDREV">'[1]FA-LISTING'!#REF!</definedName>
    <definedName name="LastRealCell">#REF!</definedName>
    <definedName name="LCD" localSheetId="10">[9]!LCD</definedName>
    <definedName name="LCD" localSheetId="6">[9]!LCD</definedName>
    <definedName name="LCD" localSheetId="3">[9]!LCD</definedName>
    <definedName name="LCD" localSheetId="4">[9]!LCD</definedName>
    <definedName name="LCD" localSheetId="5">[9]!LCD</definedName>
    <definedName name="LCD" localSheetId="9">[9]!LCD</definedName>
    <definedName name="LCD">[9]!LCD</definedName>
    <definedName name="LicenseeData">#REF!</definedName>
    <definedName name="Line_Number">#REF!</definedName>
    <definedName name="lucent">#REF!</definedName>
    <definedName name="M">#REF!</definedName>
    <definedName name="Macro2_Consolidation_Sum_Y10">'[33]Sum-Y02'!Macro2_Consolidation_Sum_Y10</definedName>
    <definedName name="Manual" localSheetId="10">[9]!Manual</definedName>
    <definedName name="Manual" localSheetId="6">[9]!Manual</definedName>
    <definedName name="Manual" localSheetId="3">[9]!Manual</definedName>
    <definedName name="Manual" localSheetId="4">[9]!Manual</definedName>
    <definedName name="Manual" localSheetId="5">[9]!Manual</definedName>
    <definedName name="Manual" localSheetId="9">[9]!Manual</definedName>
    <definedName name="Manual">[9]!Manual</definedName>
    <definedName name="Mar_03_B">'[7]IS-01'!#REF!</definedName>
    <definedName name="Material">[34]List!$A$2:$A$18</definedName>
    <definedName name="Matrix_1">#REF!</definedName>
    <definedName name="Matrix_2">#REF!</definedName>
    <definedName name="May">#REF!</definedName>
    <definedName name="May_05_B">'[7]IS-01'!#REF!</definedName>
    <definedName name="MCE">#REF!</definedName>
    <definedName name="MD_Non_Patent_LD_Totals">#REF!</definedName>
    <definedName name="MD_Patent_LD_Totals">#REF!</definedName>
    <definedName name="MDC" localSheetId="10">[9]!MDC</definedName>
    <definedName name="MDC" localSheetId="6">[9]!MDC</definedName>
    <definedName name="MDC" localSheetId="3">[9]!MDC</definedName>
    <definedName name="MDC" localSheetId="4">[9]!MDC</definedName>
    <definedName name="MDC" localSheetId="5">[9]!MDC</definedName>
    <definedName name="MDC" localSheetId="9">[9]!MDC</definedName>
    <definedName name="MDC">[9]!MDC</definedName>
    <definedName name="Memory" localSheetId="10">[9]!Memory</definedName>
    <definedName name="Memory" localSheetId="6">[9]!Memory</definedName>
    <definedName name="Memory" localSheetId="3">[9]!Memory</definedName>
    <definedName name="Memory" localSheetId="4">[9]!Memory</definedName>
    <definedName name="Memory" localSheetId="5">[9]!Memory</definedName>
    <definedName name="Memory" localSheetId="9">[9]!Memory</definedName>
    <definedName name="Memory">[9]!Memory</definedName>
    <definedName name="MENU">#REF!</definedName>
    <definedName name="MiniPCI" localSheetId="10">[9]!MiniPCI</definedName>
    <definedName name="MiniPCI" localSheetId="6">[9]!MiniPCI</definedName>
    <definedName name="MiniPCI" localSheetId="3">[9]!MiniPCI</definedName>
    <definedName name="MiniPCI" localSheetId="4">[9]!MiniPCI</definedName>
    <definedName name="MiniPCI" localSheetId="5">[9]!MiniPCI</definedName>
    <definedName name="MiniPCI" localSheetId="9">[9]!MiniPCI</definedName>
    <definedName name="MiniPCI">[9]!MiniPCI</definedName>
    <definedName name="MLP_Lossless_Cons_Dec_Non_Patent">#REF!</definedName>
    <definedName name="MLP_Lossless_Cons_Dec_Patent">#REF!</definedName>
    <definedName name="MODEL">[20]TOOL!$A:$A</definedName>
    <definedName name="modellist">#REF!</definedName>
    <definedName name="modeln35">#REF!</definedName>
    <definedName name="Month">#REF!</definedName>
    <definedName name="MONTH4">#REF!</definedName>
    <definedName name="MonthMapping">[35]MonthMapping!$A:$B</definedName>
    <definedName name="Mouse" localSheetId="10">[9]!Mouse</definedName>
    <definedName name="Mouse" localSheetId="6">[9]!Mouse</definedName>
    <definedName name="Mouse" localSheetId="3">[9]!Mouse</definedName>
    <definedName name="Mouse" localSheetId="4">[9]!Mouse</definedName>
    <definedName name="Mouse" localSheetId="5">[9]!Mouse</definedName>
    <definedName name="Mouse" localSheetId="9">[9]!Mouse</definedName>
    <definedName name="Mouse">[9]!Mouse</definedName>
    <definedName name="mps" hidden="1">{"'Jan'!$AC$129:$AC$169"}</definedName>
    <definedName name="MR_STUDIO_COST_PER_PRODUCT">[22]Configuration!#REF!</definedName>
    <definedName name="MV">'[1]FA-LISTING'!#REF!</definedName>
    <definedName name="n">'[8]IS-01'!#REF!</definedName>
    <definedName name="new" localSheetId="10">[36]!Country</definedName>
    <definedName name="new" localSheetId="6">[36]!Country</definedName>
    <definedName name="new" localSheetId="3">[36]!Country</definedName>
    <definedName name="new" localSheetId="4">[36]!Country</definedName>
    <definedName name="new" localSheetId="5">[36]!Country</definedName>
    <definedName name="new" localSheetId="9">[36]!Country</definedName>
    <definedName name="new">[36]!Country</definedName>
    <definedName name="NiCd_BTY">#REF!</definedName>
    <definedName name="NiMH_BTY">#REF!</definedName>
    <definedName name="Nov" hidden="1">{"'TUS8803'!$X$4:$X$5","'TUS8803'!$X$4:$X$5"}</definedName>
    <definedName name="Nov_11_B">'[7]IS-01'!#REF!</definedName>
    <definedName name="NR_B_type_Non_Pat_LD_Totals">#REF!</definedName>
    <definedName name="NR_B_type_Patent_LD_Totals">#REF!</definedName>
    <definedName name="NR_C_type_Non_Pat_LD_Totals">#REF!</definedName>
    <definedName name="NR_C_type_Patent_LD_Totals">#REF!</definedName>
    <definedName name="NR_S_type_Non_Pat_LD_Totals">#REF!</definedName>
    <definedName name="NR_S_type_Patent_LD_Totals">#REF!</definedName>
    <definedName name="NRE">'[4]AP Royalty table'!$F$5</definedName>
    <definedName name="NTD">#REF!</definedName>
    <definedName name="NTD匯率">34.47</definedName>
    <definedName name="Number_of_Licensed_Devices">#REF!</definedName>
    <definedName name="Oct_10_B">'[7]IS-01'!#REF!</definedName>
    <definedName name="Oct_cost">[37]Sheet2!$C:$D</definedName>
    <definedName name="ODD" localSheetId="10">[9]!ODD</definedName>
    <definedName name="ODD" localSheetId="6">[9]!ODD</definedName>
    <definedName name="ODD" localSheetId="3">[9]!ODD</definedName>
    <definedName name="ODD" localSheetId="4">[9]!ODD</definedName>
    <definedName name="ODD" localSheetId="5">[9]!ODD</definedName>
    <definedName name="ODD" localSheetId="9">[9]!ODD</definedName>
    <definedName name="ODD">[9]!ODD</definedName>
    <definedName name="OE">'[1]FA-LISTING'!#REF!</definedName>
    <definedName name="OK">#REF!</definedName>
    <definedName name="On_line_manual_diskette">#REF!</definedName>
    <definedName name="OOPN">'[27]Compal open order '!$B:$B</definedName>
    <definedName name="OPENORDERQTY">'[27]Compal open order '!$C:$C</definedName>
    <definedName name="OS" localSheetId="10">[9]!OS</definedName>
    <definedName name="OS" localSheetId="6">[9]!OS</definedName>
    <definedName name="OS" localSheetId="3">[9]!OS</definedName>
    <definedName name="OS" localSheetId="4">[9]!OS</definedName>
    <definedName name="OS" localSheetId="5">[9]!OS</definedName>
    <definedName name="OS" localSheetId="9">[9]!OS</definedName>
    <definedName name="OS">[9]!OS</definedName>
    <definedName name="OS_Country_Kit">#REF!</definedName>
    <definedName name="P">#REF!</definedName>
    <definedName name="P_M">'[1]FA-LISTING'!#REF!</definedName>
    <definedName name="P8L_TopIssue">#REF!</definedName>
    <definedName name="pack1" hidden="1">{"'Template'!$A$1:$I$70","'Monitor'!$A$1:$N$6","'Desktop'!$A$1:$N$6","'Laptop'!$A$1:$N$6"}</definedName>
    <definedName name="Packing_FT_Top_10">#REF!</definedName>
    <definedName name="pACTYear">[38]Report!$B$7</definedName>
    <definedName name="pAllMonths">#REF!</definedName>
    <definedName name="Part">#REF!</definedName>
    <definedName name="Passive_Surround_in_Pro_Logic_Non_Patent_LD_Totals">#REF!</definedName>
    <definedName name="Passive_Surround_in_Pro_Logic_Patent_LD_Totals">#REF!</definedName>
    <definedName name="PCPN">[39]Sheet2!$A:$A</definedName>
    <definedName name="pCurrentMonth">[38]Report!$B$8</definedName>
    <definedName name="pCurrentYearFCST">[38]Report!$C$7</definedName>
    <definedName name="PDATA">[39]Sheet2!$1:$1048576</definedName>
    <definedName name="PDT">[39]Sheet2!$1:$1</definedName>
    <definedName name="plnCap">#REF!</definedName>
    <definedName name="plnEVA">#REF!</definedName>
    <definedName name="plnOP">#REF!</definedName>
    <definedName name="plnOth">#REF!</definedName>
    <definedName name="plnRev">#REF!</definedName>
    <definedName name="pMDXCC_HC4">#REF!</definedName>
    <definedName name="Power_Cord">#REF!</definedName>
    <definedName name="Pre_Tax_Royalty">#REF!</definedName>
    <definedName name="Pre_Tax_Royalty__Per_Product__This_Quarter">#REF!</definedName>
    <definedName name="Pre_Tax_Royalty_Total">#REF!</definedName>
    <definedName name="pRegion">[38]Report!$E$1</definedName>
    <definedName name="Pricing">[22]Configuration!#REF!</definedName>
    <definedName name="_xlnm.Print_Area" localSheetId="1">'HANDHELD 2024'!$A$3:$B$21</definedName>
    <definedName name="_xlnm.Print_Area">#REF!</definedName>
    <definedName name="PRINT_AREA_MI">#REF!</definedName>
    <definedName name="PRINT_EXP">#REF!</definedName>
    <definedName name="Print_macro1" localSheetId="10">[40]!Print_macro1</definedName>
    <definedName name="Print_macro1" localSheetId="6">[40]!Print_macro1</definedName>
    <definedName name="Print_macro1" localSheetId="3">[40]!Print_macro1</definedName>
    <definedName name="Print_macro1" localSheetId="4">[40]!Print_macro1</definedName>
    <definedName name="Print_macro1" localSheetId="5">[40]!Print_macro1</definedName>
    <definedName name="Print_macro1" localSheetId="9">[40]!Print_macro1</definedName>
    <definedName name="Print_macro1">[40]!Print_macro1</definedName>
    <definedName name="PRINT_MFG">#REF!</definedName>
    <definedName name="_xlnm.Print_Titles">#REF!</definedName>
    <definedName name="PRINT_TITLES_MI">#REF!</definedName>
    <definedName name="PRINTHEADING">#REF!</definedName>
    <definedName name="Pro_Logic__Non_Pat_LD_Totals">#REF!</definedName>
    <definedName name="Pro_Logic__Patent_LD_Totals">#REF!</definedName>
    <definedName name="Pro_Logic_II__Non_Patent_LD_Totals">#REF!</definedName>
    <definedName name="Pro_Logic_II__Patent_LD_Totals">#REF!</definedName>
    <definedName name="Product_Category_Code">#REF!</definedName>
    <definedName name="Product_Quantity">#REF!</definedName>
    <definedName name="ProjEndDate">#REF!</definedName>
    <definedName name="ProjStartDate">#REF!</definedName>
    <definedName name="pServer">[38]Report!$B$1</definedName>
    <definedName name="PubNumber">#REF!</definedName>
    <definedName name="pWeek">[38]Report!$C$9</definedName>
    <definedName name="Q">#REF!</definedName>
    <definedName name="Q1STDS">#REF!</definedName>
    <definedName name="qq">#REF!</definedName>
    <definedName name="Quanta">#REF!</definedName>
    <definedName name="Quarter">#REF!</definedName>
    <definedName name="Query1___SMTC_MPP_Only">#REF!</definedName>
    <definedName name="Query1___SMTC_MPP_Only___0">#REF!</definedName>
    <definedName name="Query1___SMTC_MPP_Only___10">#REF!</definedName>
    <definedName name="Query1___SMTC_MPP_Only___11">#REF!</definedName>
    <definedName name="Query1___SMTC_MPP_Only___13">#REF!</definedName>
    <definedName name="Query1___SMTC_MPP_Only___16">#REF!</definedName>
    <definedName name="Query1___SMTC_MPP_Only___3">#REF!</definedName>
    <definedName name="Query1___SMTC_MPP_Only___4">#REF!</definedName>
    <definedName name="Query1___SMTC_MPP_Only___5">#REF!</definedName>
    <definedName name="Query1___SMTC_MPP_Only___6">#REF!</definedName>
    <definedName name="RAP">#REF!</definedName>
    <definedName name="RAPXP">#REF!</definedName>
    <definedName name="RAS">#REF!</definedName>
    <definedName name="RASS">#REF!</definedName>
    <definedName name="RASSXP">#REF!</definedName>
    <definedName name="RASXP">#REF!</definedName>
    <definedName name="rawdata">#REF!</definedName>
    <definedName name="RCTOPN">'[27]R CTO demand'!$A:$A</definedName>
    <definedName name="RCTOQTY">'[27]R CTO demand'!$B:$B</definedName>
    <definedName name="Reader" localSheetId="10">[9]!Reader</definedName>
    <definedName name="Reader" localSheetId="6">[9]!Reader</definedName>
    <definedName name="Reader" localSheetId="3">[9]!Reader</definedName>
    <definedName name="Reader" localSheetId="4">[9]!Reader</definedName>
    <definedName name="Reader" localSheetId="5">[9]!Reader</definedName>
    <definedName name="Reader" localSheetId="9">[9]!Reader</definedName>
    <definedName name="Reader">[9]!Reader</definedName>
    <definedName name="reason">#REF!</definedName>
    <definedName name="_xlnm.Recorder">#REF!</definedName>
    <definedName name="ResourceCD">'[4]AP Royalty table'!$D$12</definedName>
    <definedName name="Rev" localSheetId="10">[9]!Rev</definedName>
    <definedName name="Rev" localSheetId="6">[9]!Rev</definedName>
    <definedName name="Rev" localSheetId="3">[9]!Rev</definedName>
    <definedName name="Rev" localSheetId="4">[9]!Rev</definedName>
    <definedName name="Rev" localSheetId="5">[9]!Rev</definedName>
    <definedName name="Rev" localSheetId="9">[9]!Rev</definedName>
    <definedName name="Rev">[9]!Rev</definedName>
    <definedName name="rngComplDate">#REF!</definedName>
    <definedName name="rngDueDate">#REF!</definedName>
    <definedName name="rngGate0">#REF!</definedName>
    <definedName name="rngGate1">#REF!</definedName>
    <definedName name="rngGate2">#REF!</definedName>
    <definedName name="rngGate3">#REF!</definedName>
    <definedName name="rngGate4">#REF!</definedName>
    <definedName name="rngGate41">#REF!</definedName>
    <definedName name="rngGate5">#REF!</definedName>
    <definedName name="rngGate6">#REF!</definedName>
    <definedName name="rngGate7">#REF!</definedName>
    <definedName name="rngGate8">#REF!</definedName>
    <definedName name="rngGate9">#REF!</definedName>
    <definedName name="rngMile">#REF!</definedName>
    <definedName name="rngProjPlanStep">#REF!</definedName>
    <definedName name="rngRealValues">#REF!</definedName>
    <definedName name="rngRevDueDate">#REF!</definedName>
    <definedName name="rngStopLight">#REF!</definedName>
    <definedName name="RO" localSheetId="10">[9]!RO</definedName>
    <definedName name="RO" localSheetId="6">[9]!RO</definedName>
    <definedName name="RO" localSheetId="3">[9]!RO</definedName>
    <definedName name="RO" localSheetId="4">[9]!RO</definedName>
    <definedName name="RO" localSheetId="5">[9]!RO</definedName>
    <definedName name="RO" localSheetId="9">[9]!RO</definedName>
    <definedName name="RO">[9]!RO</definedName>
    <definedName name="ROFormula" localSheetId="10">[9]!ROFormula</definedName>
    <definedName name="ROFormula" localSheetId="6">[9]!ROFormula</definedName>
    <definedName name="ROFormula" localSheetId="3">[9]!ROFormula</definedName>
    <definedName name="ROFormula" localSheetId="4">[9]!ROFormula</definedName>
    <definedName name="ROFormula" localSheetId="5">[9]!ROFormula</definedName>
    <definedName name="ROFormula" localSheetId="9">[9]!ROFormula</definedName>
    <definedName name="ROFormula">[9]!ROFormula</definedName>
    <definedName name="Row_10">#REF!</definedName>
    <definedName name="RR">#REF!</definedName>
    <definedName name="RVT">#REF!</definedName>
    <definedName name="RVTVB">#REF!</definedName>
    <definedName name="RVTVS">#REF!</definedName>
    <definedName name="RVTXP">#REF!</definedName>
    <definedName name="s">'[6]IS-01'!#REF!</definedName>
    <definedName name="S_SM">#REF!</definedName>
    <definedName name="sales">#REF!</definedName>
    <definedName name="SAPBEXrevision" hidden="1">2</definedName>
    <definedName name="SAPBEXsysID" hidden="1">"A50"</definedName>
    <definedName name="SAPBEXwbID" hidden="1">"3YF6INPQLHP6GZSF4N0CYLRHJ"</definedName>
    <definedName name="SAPN">[19]Sheet2!$A:$A</definedName>
    <definedName name="Saver" localSheetId="10">[9]!Saver</definedName>
    <definedName name="Saver" localSheetId="6">[9]!Saver</definedName>
    <definedName name="Saver" localSheetId="3">[9]!Saver</definedName>
    <definedName name="Saver" localSheetId="4">[9]!Saver</definedName>
    <definedName name="Saver" localSheetId="5">[9]!Saver</definedName>
    <definedName name="Saver" localSheetId="9">[9]!Saver</definedName>
    <definedName name="Saver">[9]!Saver</definedName>
    <definedName name="sc" hidden="1">{"'Template'!$A$1:$I$70","'Monitor'!$A$1:$N$6","'Desktop'!$A$1:$N$6","'Laptop'!$A$1:$N$6"}</definedName>
    <definedName name="SD">#REF!</definedName>
    <definedName name="sdfgghj">'[6]IS-01'!#REF!</definedName>
    <definedName name="sdfsdf">[41]FG!$C$9</definedName>
    <definedName name="sdfwef" hidden="1">{"'Jan'!$AC$129:$AC$169"}</definedName>
    <definedName name="sdfwrgwer">#REF!</definedName>
    <definedName name="sdg">[5]Contents!#REF!</definedName>
    <definedName name="sdgf">'[6]IS-01'!#REF!</definedName>
    <definedName name="SE">#REF!</definedName>
    <definedName name="Sep_cost">#REF!</definedName>
    <definedName name="Sept_09_B">'[7]IS-01'!#REF!</definedName>
    <definedName name="Serial">#REF!</definedName>
    <definedName name="SGD匯率">34.47/18.93</definedName>
    <definedName name="sku">[16]data!$A:$A</definedName>
    <definedName name="Softload" localSheetId="10">[9]!Softload</definedName>
    <definedName name="Softload" localSheetId="6">[9]!Softload</definedName>
    <definedName name="Softload" localSheetId="3">[9]!Softload</definedName>
    <definedName name="Softload" localSheetId="4">[9]!Softload</definedName>
    <definedName name="Softload" localSheetId="5">[9]!Softload</definedName>
    <definedName name="Softload" localSheetId="9">[9]!Softload</definedName>
    <definedName name="Softload">[9]!Softload</definedName>
    <definedName name="SOUND_ROOM_COST_PER_PRODUCT">[22]Configuration!#REF!</definedName>
    <definedName name="sppn">'[17]wsp 01-07'!$2:$2</definedName>
    <definedName name="SPY_DA">[14]RAMReceive!$1:$1048576</definedName>
    <definedName name="SPY_DT">[14]RAMReceive!$4:$4</definedName>
    <definedName name="SPY_PN">[14]RAMReceive!$A:$A</definedName>
    <definedName name="ss" hidden="1">{"'Jan'!$AC$129:$AC$169"}</definedName>
    <definedName name="SSS" hidden="1">{"'Jan'!$AC$129:$AC$169"}</definedName>
    <definedName name="STOCKPN">'[27]Compal stock 4.6'!$B:$B</definedName>
    <definedName name="STOCKQTY">'[27]Compal stock 4.6'!$D:$D</definedName>
    <definedName name="Sub___Assemblies">#REF!</definedName>
    <definedName name="SUPY_DATA">#REF!</definedName>
    <definedName name="SUPY_DATE">#REF!</definedName>
    <definedName name="SUPY_PN">#REF!</definedName>
    <definedName name="suupply2">#REF!</definedName>
    <definedName name="symptom">'[42]FA Definitions'!$D$2:$D$51</definedName>
    <definedName name="SYS320N">#REF!</definedName>
    <definedName name="SYS320SLI">#REF!</definedName>
    <definedName name="SYS325P">#REF!</definedName>
    <definedName name="SYS325SX">#REF!</definedName>
    <definedName name="SYS333SL">#REF!</definedName>
    <definedName name="SYS420DE">#REF!</definedName>
    <definedName name="SYS420SE">#REF!</definedName>
    <definedName name="SYS466DSA">#REF!</definedName>
    <definedName name="SYS486D">#REF!</definedName>
    <definedName name="SYS486L">#REF!</definedName>
    <definedName name="SYS486M">#REF!</definedName>
    <definedName name="SYS486ME">#REF!</definedName>
    <definedName name="SYS486P">#REF!</definedName>
    <definedName name="SYS486T">#REF!</definedName>
    <definedName name="SYSDGX">#REF!</definedName>
    <definedName name="SYSEMS753">#REF!</definedName>
    <definedName name="SYSNL25">#REF!</definedName>
    <definedName name="System_utility_diskette">#REF!</definedName>
    <definedName name="T">#REF!</definedName>
    <definedName name="T_B_cover">#REF!</definedName>
    <definedName name="T_B_manual_disk">#REF!</definedName>
    <definedName name="TaxTV">10%</definedName>
    <definedName name="TaxXL">5%</definedName>
    <definedName name="TBOPN">[43]Sheet2!$A$2:$A$113</definedName>
    <definedName name="TBORANGE">[43]Sheet2!$A$2:$G$113</definedName>
    <definedName name="TEST">#REF!</definedName>
    <definedName name="ThisDB">#REF!</definedName>
    <definedName name="Timelink__Non_Pat_LD_Totals">#REF!</definedName>
    <definedName name="Timelink__Patent_LD_Totals">#REF!</definedName>
    <definedName name="TM1REBUILDOPTION">1</definedName>
    <definedName name="tooling">#REF!</definedName>
    <definedName name="Top_row_1">#REF!</definedName>
    <definedName name="Top_row_2">#REF!</definedName>
    <definedName name="total">#REF!</definedName>
    <definedName name="Total_Quantity">#REF!</definedName>
    <definedName name="Total_shmt">'[44]FCT August'!$I$20</definedName>
    <definedName name="total_wsp">#REF!</definedName>
    <definedName name="Trackball">#REF!</definedName>
    <definedName name="TTDATE">[45]總表!$3:$3</definedName>
    <definedName name="TTL_B">'[7]IS-01'!#REF!</definedName>
    <definedName name="TTPN">[45]總表!$B:$B</definedName>
    <definedName name="tyi">'[6]IS-01'!#REF!</definedName>
    <definedName name="U">#REF!</definedName>
    <definedName name="upc">'[11]UPC+EAN'!$A:$C</definedName>
    <definedName name="USB" localSheetId="10">[9]!USB</definedName>
    <definedName name="USB" localSheetId="6">[9]!USB</definedName>
    <definedName name="USB" localSheetId="3">[9]!USB</definedName>
    <definedName name="USB" localSheetId="4">[9]!USB</definedName>
    <definedName name="USB" localSheetId="5">[9]!USB</definedName>
    <definedName name="USB" localSheetId="9">[9]!USB</definedName>
    <definedName name="USB">[9]!USB</definedName>
    <definedName name="User_s_manual__multi_language">#REF!</definedName>
    <definedName name="User_s_manual__single_language">#REF!</definedName>
    <definedName name="uu">#REF!</definedName>
    <definedName name="v">#REF!</definedName>
    <definedName name="V7201010MVZ">#REF!</definedName>
    <definedName name="V730100VMVZBT">#REF!</definedName>
    <definedName name="V730100XMVZ">#REF!</definedName>
    <definedName name="V730100YMVZ">#REF!</definedName>
    <definedName name="V7301011MVZ">#REF!</definedName>
    <definedName name="V7301012MVZ">#REF!</definedName>
    <definedName name="varCap">#REF!</definedName>
    <definedName name="varEVA">#REF!</definedName>
    <definedName name="varOP">#REF!</definedName>
    <definedName name="varOth">#REF!</definedName>
    <definedName name="varRev">#REF!</definedName>
    <definedName name="VB">#REF!</definedName>
    <definedName name="VBAP">'[4]AP Royalty table'!$D$7</definedName>
    <definedName name="VBEM">[46]Others!$C$96</definedName>
    <definedName name="VBEMs">#REF!</definedName>
    <definedName name="VGA" localSheetId="10">[47]!VGA</definedName>
    <definedName name="VGA" localSheetId="6">[47]!VGA</definedName>
    <definedName name="VGA" localSheetId="3">[47]!VGA</definedName>
    <definedName name="VGA" localSheetId="4">[47]!VGA</definedName>
    <definedName name="VGA" localSheetId="5">[47]!VGA</definedName>
    <definedName name="VGA" localSheetId="9">[47]!VGA</definedName>
    <definedName name="VGA">[47]!VGA</definedName>
    <definedName name="VHB">#REF!</definedName>
    <definedName name="VHBAP">'[4]AP Royalty table'!$D$6</definedName>
    <definedName name="VHBEM">[46]Others!$C$94</definedName>
    <definedName name="VHP">#REF!</definedName>
    <definedName name="VHPAP">'[4]AP Royalty table'!$D$5</definedName>
    <definedName name="VHPEM">[46]Others!$C$95</definedName>
    <definedName name="vibration1">#N/A</definedName>
    <definedName name="Virtual_DD_by_Dolby_Non_Patent_LD_Totals">#REF!</definedName>
    <definedName name="Virtual_DD_by_Dolby_Patent_LD_Totals">#REF!</definedName>
    <definedName name="Virtual_DS_by_Dolby_Non_Patent_LD_Totals">#REF!</definedName>
    <definedName name="Virtual_DS_by_Dolby_Patent_LD_Totals">#REF!</definedName>
    <definedName name="VSTAP">'[4]AP Royalty table'!$D$9</definedName>
    <definedName name="VSTR">#REF!</definedName>
    <definedName name="VUT">#REF!</definedName>
    <definedName name="VUTAP">'[4]AP Royalty table'!$D$10</definedName>
    <definedName name="vv">#REF!</definedName>
    <definedName name="W">#REF!</definedName>
    <definedName name="Warranty" localSheetId="10">[9]!Warranty</definedName>
    <definedName name="Warranty" localSheetId="6">[9]!Warranty</definedName>
    <definedName name="Warranty" localSheetId="3">[9]!Warranty</definedName>
    <definedName name="Warranty" localSheetId="4">[9]!Warranty</definedName>
    <definedName name="Warranty" localSheetId="5">[9]!Warranty</definedName>
    <definedName name="Warranty" localSheetId="9">[9]!Warranty</definedName>
    <definedName name="Warranty">[9]!Warranty</definedName>
    <definedName name="wd">#REF!</definedName>
    <definedName name="weightedQ">#REF!</definedName>
    <definedName name="WhereSheet">#REF!</definedName>
    <definedName name="who" hidden="1">[2]BREAKDOWN!#REF!</definedName>
    <definedName name="Wiping" localSheetId="10">[9]!Wiping</definedName>
    <definedName name="Wiping" localSheetId="6">[9]!Wiping</definedName>
    <definedName name="Wiping" localSheetId="3">[9]!Wiping</definedName>
    <definedName name="Wiping" localSheetId="4">[9]!Wiping</definedName>
    <definedName name="Wiping" localSheetId="5">[9]!Wiping</definedName>
    <definedName name="Wiping" localSheetId="9">[9]!Wiping</definedName>
    <definedName name="Wiping">[9]!Wiping</definedName>
    <definedName name="Works" localSheetId="10">[9]!Works</definedName>
    <definedName name="Works" localSheetId="6">[9]!Works</definedName>
    <definedName name="Works" localSheetId="3">[9]!Works</definedName>
    <definedName name="Works" localSheetId="4">[9]!Works</definedName>
    <definedName name="Works" localSheetId="5">[9]!Works</definedName>
    <definedName name="Works" localSheetId="9">[9]!Works</definedName>
    <definedName name="Works">[9]!Works</definedName>
    <definedName name="WSP">[19]Sheet2!$1:$1048576</definedName>
    <definedName name="X_SM">#REF!</definedName>
    <definedName name="xgz">'[6]IS-01'!#REF!</definedName>
    <definedName name="XPH">#REF!</definedName>
    <definedName name="XPP" localSheetId="10">[23]!OS</definedName>
    <definedName name="XPP" localSheetId="6">[23]!OS</definedName>
    <definedName name="XPP" localSheetId="3">[23]!OS</definedName>
    <definedName name="XPP" localSheetId="4">[23]!OS</definedName>
    <definedName name="XPP" localSheetId="5">[23]!OS</definedName>
    <definedName name="XPP" localSheetId="9">[23]!OS</definedName>
    <definedName name="XPP">[23]!OS</definedName>
    <definedName name="XPPAP">'[4]AP Royalty table'!$D$8</definedName>
    <definedName name="xx" hidden="1">{"'Jan'!$AC$129:$AC$169"}</definedName>
    <definedName name="YA">#REF!</definedName>
    <definedName name="yao">#N/A</definedName>
    <definedName name="Year">#REF!</definedName>
    <definedName name="Yen">#REF!</definedName>
    <definedName name="yuityui">[5]Contents!#REF!</definedName>
    <definedName name="yuiyl">'[6]IS-01'!#REF!</definedName>
    <definedName name="yuktyuk">'[6]IS-01'!#REF!</definedName>
    <definedName name="Z_35C1B801_9807_11D7_ADE4_00400582B212_.wvu.FilterData" hidden="1">#REF!</definedName>
    <definedName name="Z_35C1B801_9807_11D7_ADE4_00400582B212_.wvu.PrintArea" hidden="1">#REF!</definedName>
    <definedName name="zsdr82_elw80_database">[48]zsdr82Tab!$1:$1048576</definedName>
    <definedName name="zsdr82_elw80_date">[48]zsdr82Tab!$2:$2</definedName>
    <definedName name="zsdr82_elw80_kbPN">[48]zsdr82Tab!$A:$A</definedName>
    <definedName name="zsdr82TAB">'[32]zsdr82 Tab.'!$1:$1048576</definedName>
    <definedName name="zxgzx">'[5]IS-01'!#REF!</definedName>
    <definedName name="備註">#REF!</definedName>
    <definedName name="前期折舊">#REF!</definedName>
    <definedName name="取得成本">#REF!</definedName>
    <definedName name="取得日期">#REF!</definedName>
    <definedName name="德華">#REF!</definedName>
    <definedName name="改良金額">#REF!</definedName>
    <definedName name="新耐用年限">#REF!</definedName>
    <definedName name="本月折舊">#REF!</definedName>
    <definedName name="本期折舊">#REF!</definedName>
    <definedName name="殘值起算日">#REF!</definedName>
    <definedName name="第三季">#REF!</definedName>
    <definedName name="累計折舊">#REF!</definedName>
    <definedName name="結果">#REF!</definedName>
    <definedName name="耐用年限">#REF!</definedName>
    <definedName name="計算基數">#REF!</definedName>
    <definedName name="預留殘值年限">#REF!</definedName>
    <definedName name="麗君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" i="13" l="1"/>
  <c r="L17" i="12"/>
  <c r="L12" i="12"/>
  <c r="L14" i="12"/>
  <c r="L15" i="12"/>
  <c r="Q6" i="13"/>
  <c r="L9" i="12"/>
  <c r="L10" i="12"/>
  <c r="L16" i="12"/>
  <c r="J6" i="13"/>
  <c r="L4" i="12"/>
  <c r="P6" i="13" l="1"/>
  <c r="L19" i="12"/>
  <c r="L18" i="12"/>
  <c r="O6" i="13"/>
  <c r="S6" i="13"/>
  <c r="R6" i="13"/>
  <c r="N6" i="13"/>
  <c r="M6" i="13"/>
  <c r="L6" i="13"/>
  <c r="K6" i="13"/>
  <c r="I6" i="13"/>
  <c r="H6" i="13"/>
  <c r="G6" i="13"/>
  <c r="F6" i="13"/>
  <c r="E6" i="13"/>
  <c r="D6" i="13"/>
  <c r="C6" i="13"/>
  <c r="L20" i="12"/>
  <c r="L13" i="12"/>
  <c r="L11" i="12"/>
  <c r="L8" i="12"/>
  <c r="L7" i="12"/>
  <c r="L6" i="12"/>
  <c r="L5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tc={0DD20B78-0CA7-4292-8DBC-BE0C4CB87830}</author>
  </authors>
  <commentList>
    <comment ref="L68" authorId="0" shapeId="0" xr:uid="{0DD20B78-0CA7-4292-8DBC-BE0C4CB87830}">
      <text>
        <t>[Threaded comment]
Your version of Excel allows you to read this threaded comment; however, any edits to it will get removed if the file is opened in a newer version of Excel. Learn more: https://go.microsoft.com/fwlink/?linkid=870924
Comment:
    FCS TBC. 
NVIDIA embargo: Jan 2027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tc={3426A0E1-A8A6-4A4E-B679-6601200795F8}</author>
  </authors>
  <commentList>
    <comment ref="C29" authorId="0" shapeId="0" xr:uid="{3426A0E1-A8A6-4A4E-B679-6601200795F8}">
      <text>
        <t>[Threaded comment]
Your version of Excel allows you to read this threaded comment; however, any edits to it will get removed if the file is opened in a newer version of Excel. Learn more: https://go.microsoft.com/fwlink/?linkid=870924
Comment:
    1 = Slot? 2 = Slots?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tc={DAA78D57-DF0C-4890-928F-0A747E8024D5}</author>
    <author>tc={BC87C0CD-CD90-4475-B77B-8CF26AC17ED1}</author>
    <author>tc={71A0DFA6-4767-4606-819B-E54CC478C5CA}</author>
    <author>tc={09E20AA5-5D02-451A-A52C-C3274A0996DE}</author>
    <author>tc={4EA2FAC5-4B4A-4BA7-9B32-ED5D422D21F8}</author>
    <author>tc={B11FD840-7C75-447E-8526-63D3F8D472DF}</author>
    <author>tc={CA36C5AE-0A0E-4D6B-8EDF-C55C3DA5972F}</author>
    <author>tc={5D1E4913-FE57-4C9D-8DEA-E806E16F44DE}</author>
    <author>tc={0193911B-F8C1-4C6D-860B-31D4FF3B92BF}</author>
    <author>tc={2D440BCB-9428-4DCF-9B89-5B9F055F0A06}</author>
  </authors>
  <commentList>
    <comment ref="D14" authorId="0" shapeId="0" xr:uid="{DAA78D57-DF0C-4890-928F-0A747E8024D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@Gurden, Clark  What is "int8"? We need total AI TOPS numbers. If you cannot get it from PM, ask Intel Monica. </t>
      </text>
    </comment>
    <comment ref="D15" authorId="1" shapeId="0" xr:uid="{BC87C0CD-CD90-4475-B77B-8CF26AC17ED1}">
      <text>
        <t>[Threaded comment]
Your version of Excel allows you to read this threaded comment; however, any edits to it will get removed if the file is opened in a newer version of Excel. Learn more: https://go.microsoft.com/fwlink/?linkid=870924
Comment:
    @Gurden, Clark We need more detail on this, like Arc 12Xe?</t>
      </text>
    </comment>
    <comment ref="D16" authorId="2" shapeId="0" xr:uid="{71A0DFA6-4767-4606-819B-E54CC478C5CA}">
      <text>
        <t>[Threaded comment]
Your version of Excel allows you to read this threaded comment; however, any edits to it will get removed if the file is opened in a newer version of Excel. Learn more: https://go.microsoft.com/fwlink/?linkid=870924
Comment:
    @Gurden, Clark What’s the screen ratio? 16:9 or 16:10?
100Hz, not 120Hz?
Reply:
    16:9
Reply:
    Missing Adobe: ??%
Reply:
    adobe rgb and sRGB are two different types. if adobe was excluded we're like using the standard
Reply:
    Ken is going to provide Adobe %</t>
      </text>
    </comment>
    <comment ref="C23" authorId="3" shapeId="0" xr:uid="{09E20AA5-5D02-451A-A52C-C3274A0996DE}">
      <text>
        <t>[Threaded comment]
Your version of Excel allows you to read this threaded comment; however, any edits to it will get removed if the file is opened in a newer version of Excel. Learn more: https://go.microsoft.com/fwlink/?linkid=870924
Comment:
    @Gurden, Clark Needs more memory spec info. Should be MT/s, not MHz.
Same speed for both 16GB and 32GB?</t>
      </text>
    </comment>
    <comment ref="D23" authorId="4" shapeId="0" xr:uid="{4EA2FAC5-4B4A-4BA7-9B32-ED5D422D21F8}">
      <text>
        <t>[Threaded comment]
Your version of Excel allows you to read this threaded comment; however, any edits to it will get removed if the file is opened in a newer version of Excel. Learn more: https://go.microsoft.com/fwlink/?linkid=870924
Comment:
    @Gurden, Clark Needs more memory spec info. Should be MT/s, not MHz.
Same speed for both 16GB and 32GB?</t>
      </text>
    </comment>
    <comment ref="C33" authorId="5" shapeId="0" xr:uid="{B11FD840-7C75-447E-8526-63D3F8D472DF}">
      <text>
        <t>[Threaded comment]
Your version of Excel allows you to read this threaded comment; however, any edits to it will get removed if the file is opened in a newer version of Excel. Learn more: https://go.microsoft.com/fwlink/?linkid=870924
Comment:
    @Gurden, Clark It's the card reader, not the card, right?
What's the MicroSD card reader spec?</t>
      </text>
    </comment>
    <comment ref="C38" authorId="6" shapeId="0" xr:uid="{CA36C5AE-0A0E-4D6B-8EDF-C55C3DA5972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@Gurden, Clark Windows 11 Home, I assume. </t>
      </text>
    </comment>
    <comment ref="C40" authorId="7" shapeId="0" xr:uid="{5D1E4913-FE57-4C9D-8DEA-E806E16F44DE}">
      <text>
        <t>[Threaded comment]
Your version of Excel allows you to read this threaded comment; however, any edits to it will get removed if the file is opened in a newer version of Excel. Learn more: https://go.microsoft.com/fwlink/?linkid=870924
Comment:
    @Gurden, Clark  Need to clarify which XGP package? 2 months XGP Premium or XGP Ultimate?</t>
      </text>
    </comment>
    <comment ref="D40" authorId="8" shapeId="0" xr:uid="{0193911B-F8C1-4C6D-860B-31D4FF3B92BF}">
      <text>
        <t>[Threaded comment]
Your version of Excel allows you to read this threaded comment; however, any edits to it will get removed if the file is opened in a newer version of Excel. Learn more: https://go.microsoft.com/fwlink/?linkid=870924
Comment:
    @Gurden, Clark  Need to clarify which XGP package? 2 months XGP Premium or XGP Ultimate?</t>
      </text>
    </comment>
    <comment ref="C42" authorId="9" shapeId="0" xr:uid="{2D440BCB-9428-4DCF-9B89-5B9F055F0A0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@Lin, Daphne CT  PCR material used? %?
Reply:
    I belive this is a ask to @Gurden, Clark 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tc={1F6FBD5A-C32F-49C9-B38C-F2C0332B7A2F}</author>
    <author>tc={31D8C1AC-EC33-4D48-9809-19B7FDFFF311}</author>
    <author>tc={960A1D1E-67C4-43AE-8313-8835B00EEAD5}</author>
    <author>tc={C1E675D7-3822-4AFA-AD3F-1723E25F35BF}</author>
    <author>tc={C60C4AB0-5383-4167-BE66-FDE0307E5DB6}</author>
  </authors>
  <commentList>
    <comment ref="B15" authorId="0" shapeId="0" xr:uid="{1F6FBD5A-C32F-49C9-B38C-F2C0332B7A2F}">
      <text>
        <t>[Threaded comment]
Your version of Excel allows you to read this threaded comment; however, any edits to it will get removed if the file is opened in a newer version of Excel. Learn more: https://go.microsoft.com/fwlink/?linkid=870924
Comment:
    Pl1 MAX</t>
      </text>
    </comment>
    <comment ref="B21" authorId="1" shapeId="0" xr:uid="{31D8C1AC-EC33-4D48-9809-19B7FDFFF311}">
      <text>
        <t>[Threaded comment]
Your version of Excel allows you to read this threaded comment; however, any edits to it will get removed if the file is opened in a newer version of Excel. Learn more: https://go.microsoft.com/fwlink/?linkid=870924
Comment:
    MGP=TGP+DB(Dynamic Boost)</t>
      </text>
    </comment>
    <comment ref="B22" authorId="2" shapeId="0" xr:uid="{960A1D1E-67C4-43AE-8313-8835B00EEAD5}">
      <text>
        <t>[Threaded comment]
Your version of Excel allows you to read this threaded comment; however, any edits to it will get removed if the file is opened in a newer version of Excel. Learn more: https://go.microsoft.com/fwlink/?linkid=870924
Comment:
    TDP=X2</t>
      </text>
    </comment>
    <comment ref="B23" authorId="3" shapeId="0" xr:uid="{C1E675D7-3822-4AFA-AD3F-1723E25F35BF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https://www.nvidia.com/en-us/geforce/laptops/compare/</t>
      </text>
    </comment>
    <comment ref="B29" authorId="4" shapeId="0" xr:uid="{C60C4AB0-5383-4167-BE66-FDE0307E5DB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Level:
G-SYNC Ultimate
G-SYNC
G-SYNC Compatible 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tc={F0C93C96-17C3-43D7-B01E-73EDC8180ACF}</author>
    <author>tc={56640389-96E5-4197-9EE9-B0AE1DC1A469}</author>
    <author>tc={68A58418-69CA-4892-A595-36E18C2AC30E}</author>
    <author>tc={0F97FB14-C635-4D01-8257-09A86FB12C09}</author>
    <author>tc={19DB8262-A469-4818-9A16-8294B122EF38}</author>
    <author>tc={97F0A3D1-4C3C-4563-8CE6-76F7A0FE0ED2}</author>
    <author>tc={CF1FB37F-5840-41D2-A806-0E711F9AD62A}</author>
  </authors>
  <commentList>
    <comment ref="Q13" authorId="0" shapeId="0" xr:uid="{F0C93C96-17C3-43D7-B01E-73EDC8180AC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@Pan, Sylvia  Do we have the CPU model info?
Reply:
    Have asked PM, but not got any reply yet.</t>
      </text>
    </comment>
    <comment ref="U13" authorId="1" shapeId="0" xr:uid="{56640389-96E5-4197-9EE9-B0AE1DC1A46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@Pan, Sylvia  Do we have the CPU model info?
Reply:
    Have asked PM, but not got any reply yet.</t>
      </text>
    </comment>
    <comment ref="C23" authorId="2" shapeId="0" xr:uid="{68A58418-69CA-4892-A595-36E18C2AC30E}">
      <text>
        <t>[Threaded comment]
Your version of Excel allows you to read this threaded comment; however, any edits to it will get removed if the file is opened in a newer version of Excel. Learn more: https://go.microsoft.com/fwlink/?linkid=870924
Comment:
    @Pan, Sylvia  Please double check ARGB with PM.</t>
      </text>
    </comment>
    <comment ref="C25" authorId="3" shapeId="0" xr:uid="{0F97FB14-C635-4D01-8257-09A86FB12C0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@Pan, Sylvia  Please double check ARGB with PM. </t>
      </text>
    </comment>
    <comment ref="C29" authorId="4" shapeId="0" xr:uid="{19DB8262-A469-4818-9A16-8294B122EF38}">
      <text>
        <t>[Threaded comment]
Your version of Excel allows you to read this threaded comment; however, any edits to it will get removed if the file is opened in a newer version of Excel. Learn more: https://go.microsoft.com/fwlink/?linkid=870924
Comment:
    1 = Slot? 2 = Slots?</t>
      </text>
    </comment>
    <comment ref="F29" authorId="5" shapeId="0" xr:uid="{97F0A3D1-4C3C-4563-8CE6-76F7A0FE0ED2}">
      <text>
        <t>[Threaded comment]
Your version of Excel allows you to read this threaded comment; however, any edits to it will get removed if the file is opened in a newer version of Excel. Learn more: https://go.microsoft.com/fwlink/?linkid=870924
Comment:
    1 = Slot? 2 = Slots?</t>
      </text>
    </comment>
    <comment ref="H29" authorId="6" shapeId="0" xr:uid="{CF1FB37F-5840-41D2-A806-0E711F9AD62A}">
      <text>
        <t>[Threaded comment]
Your version of Excel allows you to read this threaded comment; however, any edits to it will get removed if the file is opened in a newer version of Excel. Learn more: https://go.microsoft.com/fwlink/?linkid=870924
Comment:
    1 = Slot? 2 = Slots?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tc={CCB6831B-839B-4A14-A4DF-6602B1BE279A}</author>
    <author>tc={8F9FEF8E-D93B-4A25-BED1-DEA78D35F496}</author>
    <author>tc={04C1923D-CDBD-4406-98EF-1869F1B1DE82}</author>
    <author>tc={2E3D6007-49CB-44DD-80DD-47109DEF1117}</author>
    <author>tc={6366D034-84F4-4746-9733-83AA0B290333}</author>
  </authors>
  <commentList>
    <comment ref="B15" authorId="0" shapeId="0" xr:uid="{CCB6831B-839B-4A14-A4DF-6602B1BE279A}">
      <text>
        <t>[Threaded comment]
Your version of Excel allows you to read this threaded comment; however, any edits to it will get removed if the file is opened in a newer version of Excel. Learn more: https://go.microsoft.com/fwlink/?linkid=870924
Comment:
    Pl1 MAX</t>
      </text>
    </comment>
    <comment ref="B21" authorId="1" shapeId="0" xr:uid="{8F9FEF8E-D93B-4A25-BED1-DEA78D35F496}">
      <text>
        <t>[Threaded comment]
Your version of Excel allows you to read this threaded comment; however, any edits to it will get removed if the file is opened in a newer version of Excel. Learn more: https://go.microsoft.com/fwlink/?linkid=870924
Comment:
    MGP=TGP+DB(Dynamic Boost)</t>
      </text>
    </comment>
    <comment ref="B22" authorId="2" shapeId="0" xr:uid="{04C1923D-CDBD-4406-98EF-1869F1B1DE82}">
      <text>
        <t>[Threaded comment]
Your version of Excel allows you to read this threaded comment; however, any edits to it will get removed if the file is opened in a newer version of Excel. Learn more: https://go.microsoft.com/fwlink/?linkid=870924
Comment:
    TDP=X2</t>
      </text>
    </comment>
    <comment ref="B23" authorId="3" shapeId="0" xr:uid="{2E3D6007-49CB-44DD-80DD-47109DEF1117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https://www.nvidia.com/en-us/geforce/laptops/compare/</t>
      </text>
    </comment>
    <comment ref="B29" authorId="4" shapeId="0" xr:uid="{6366D034-84F4-4746-9733-83AA0B29033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Level:
G-SYNC Ultimate
G-SYNC
G-SYNC Compatible 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tc={6EC12E9C-B39B-499F-A886-3FD003AE02D2}</author>
  </authors>
  <commentList>
    <comment ref="B23" authorId="0" shapeId="0" xr:uid="{6EC12E9C-B39B-499F-A886-3FD003AE02D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Level:
G-SYNC Ultimate
G-SYNC
G-SYNC Compatible </t>
      </text>
    </comment>
  </commentList>
</comments>
</file>

<file path=xl/sharedStrings.xml><?xml version="1.0" encoding="utf-8"?>
<sst xmlns="http://schemas.openxmlformats.org/spreadsheetml/2006/main" count="5994" uniqueCount="2023">
  <si>
    <t>SEGMENT</t>
    <phoneticPr fontId="10" type="noConversion"/>
  </si>
  <si>
    <t>SIZE</t>
    <phoneticPr fontId="10" type="noConversion"/>
  </si>
  <si>
    <t>HERO</t>
    <phoneticPr fontId="10" type="noConversion"/>
  </si>
  <si>
    <t>PROJECT</t>
    <phoneticPr fontId="10" type="noConversion"/>
  </si>
  <si>
    <t>CPU</t>
    <phoneticPr fontId="10" type="noConversion"/>
  </si>
  <si>
    <t>GPU</t>
    <phoneticPr fontId="10" type="noConversion"/>
  </si>
  <si>
    <t>PROJECT PM</t>
    <phoneticPr fontId="10" type="noConversion"/>
  </si>
  <si>
    <t>BM OWNER</t>
    <phoneticPr fontId="10" type="noConversion"/>
  </si>
  <si>
    <t>MKT NAME</t>
    <phoneticPr fontId="10" type="noConversion"/>
  </si>
  <si>
    <t>MODEL NAME</t>
    <phoneticPr fontId="10" type="noConversion"/>
  </si>
  <si>
    <t>FCS</t>
    <phoneticPr fontId="10" type="noConversion"/>
  </si>
  <si>
    <t>PR</t>
    <phoneticPr fontId="10" type="noConversion"/>
  </si>
  <si>
    <t>BM FOCUS</t>
    <phoneticPr fontId="10" type="noConversion"/>
  </si>
  <si>
    <t>Helios</t>
    <phoneticPr fontId="10" type="noConversion"/>
  </si>
  <si>
    <t>🌟🌟</t>
    <phoneticPr fontId="10" type="noConversion"/>
  </si>
  <si>
    <t>Valour_ARX</t>
  </si>
  <si>
    <t>Intel Arrow Lake HX-R</t>
    <phoneticPr fontId="10" type="noConversion"/>
  </si>
  <si>
    <t>NV Board 1</t>
  </si>
  <si>
    <t>Albert Pan</t>
  </si>
  <si>
    <t>Jackson</t>
    <phoneticPr fontId="104" type="noConversion"/>
  </si>
  <si>
    <t>Predator Helios 18 AI</t>
    <phoneticPr fontId="10" type="noConversion"/>
  </si>
  <si>
    <t>PH18-I71</t>
  </si>
  <si>
    <t>COMPUTEX</t>
    <phoneticPr fontId="10" type="noConversion"/>
  </si>
  <si>
    <t>3 ROs [small qty]</t>
    <phoneticPr fontId="10" type="noConversion"/>
  </si>
  <si>
    <t>Helios Neo</t>
    <phoneticPr fontId="10" type="noConversion"/>
  </si>
  <si>
    <t>iX2_ARX</t>
    <phoneticPr fontId="10" type="noConversion"/>
  </si>
  <si>
    <t>NV Board 1 + Board 2</t>
  </si>
  <si>
    <t>Shao Yu Wu</t>
  </si>
  <si>
    <t>Predator Helios Neo 18 AI</t>
    <phoneticPr fontId="10" type="noConversion"/>
  </si>
  <si>
    <t>PHN18-I71</t>
  </si>
  <si>
    <t>Follow Intel in Mar</t>
    <phoneticPr fontId="10" type="noConversion"/>
  </si>
  <si>
    <t>3 ROs [small qty]</t>
  </si>
  <si>
    <t>MacanS_ARX</t>
    <phoneticPr fontId="10" type="noConversion"/>
  </si>
  <si>
    <t>Ken Li</t>
  </si>
  <si>
    <t>Yuki</t>
    <phoneticPr fontId="104" type="noConversion"/>
  </si>
  <si>
    <t>Predator Helios Neo 16 AI</t>
    <phoneticPr fontId="10" type="noConversion"/>
  </si>
  <si>
    <t>PHN16-I71</t>
  </si>
  <si>
    <t>3 [small qty]</t>
    <phoneticPr fontId="10" type="noConversion"/>
  </si>
  <si>
    <t>MacanS_RTX</t>
  </si>
  <si>
    <t>Intel Raptor Lake HX</t>
  </si>
  <si>
    <t>NV Board 2</t>
  </si>
  <si>
    <t>Scott Hsu</t>
  </si>
  <si>
    <t>Predator Helios Neo 16</t>
    <phoneticPr fontId="10" type="noConversion"/>
  </si>
  <si>
    <t>PHN16-I31</t>
  </si>
  <si>
    <t>X</t>
    <phoneticPr fontId="10" type="noConversion"/>
  </si>
  <si>
    <t xml:space="preserve">PAP, CN, small qty </t>
    <phoneticPr fontId="10" type="noConversion"/>
  </si>
  <si>
    <t>Helios Neo S</t>
  </si>
  <si>
    <t>FPACE_PTB</t>
  </si>
  <si>
    <t>Intel Panther Lake H484</t>
    <phoneticPr fontId="10" type="noConversion"/>
  </si>
  <si>
    <t>Julia Huang</t>
  </si>
  <si>
    <t>Predator Helios Neo 16S AI</t>
  </si>
  <si>
    <t>PHN16S-I51</t>
  </si>
  <si>
    <t>CES</t>
    <phoneticPr fontId="10" type="noConversion"/>
  </si>
  <si>
    <t>PAP, CN</t>
    <phoneticPr fontId="10" type="noConversion"/>
  </si>
  <si>
    <t>Helios Neo S</t>
    <phoneticPr fontId="10" type="noConversion"/>
  </si>
  <si>
    <t>FPACE_ARX</t>
  </si>
  <si>
    <t>Jessie Wang</t>
  </si>
  <si>
    <t>Predator Helios Neo 16S AI</t>
    <phoneticPr fontId="10" type="noConversion"/>
  </si>
  <si>
    <t>PHN16S-I71</t>
  </si>
  <si>
    <t>US(BBY Apr on shelf), EMEA</t>
  </si>
  <si>
    <t>Nitro</t>
    <phoneticPr fontId="10" type="noConversion"/>
  </si>
  <si>
    <t>Mufasa_FRX</t>
  </si>
  <si>
    <t>AMD Fire Range</t>
  </si>
  <si>
    <t>Jessica YC Liu</t>
    <phoneticPr fontId="10" type="noConversion"/>
  </si>
  <si>
    <t>Acer Nitro 16</t>
    <phoneticPr fontId="10" type="noConversion"/>
  </si>
  <si>
    <t>AN16-A91</t>
    <phoneticPr fontId="10" type="noConversion"/>
  </si>
  <si>
    <t>3 ROs</t>
  </si>
  <si>
    <t>Mufasa_GG</t>
  </si>
  <si>
    <t>AMD Gorgon Point HS</t>
    <phoneticPr fontId="10" type="noConversion"/>
  </si>
  <si>
    <t>NV Board 2 [TBD]</t>
    <phoneticPr fontId="10" type="noConversion"/>
  </si>
  <si>
    <t>Acer Nitro 16 AI</t>
    <phoneticPr fontId="10" type="noConversion"/>
  </si>
  <si>
    <t>AN16-A71</t>
  </si>
  <si>
    <t>Nitro Edge
[Ultra Slim]</t>
  </si>
  <si>
    <t>Urus_Ni</t>
    <phoneticPr fontId="10" type="noConversion"/>
  </si>
  <si>
    <t>Nvidia N1</t>
    <phoneticPr fontId="10" type="noConversion"/>
  </si>
  <si>
    <t>UMA</t>
  </si>
  <si>
    <t>Phoebe Chiu</t>
  </si>
  <si>
    <t xml:space="preserve">Acer Nitro Edge 16 AI </t>
  </si>
  <si>
    <t>ANE16-N51</t>
  </si>
  <si>
    <t>TBD</t>
    <phoneticPr fontId="10" type="noConversion"/>
  </si>
  <si>
    <t>EMEA, PA, PAP</t>
    <phoneticPr fontId="10" type="noConversion"/>
  </si>
  <si>
    <t>Nitro V</t>
  </si>
  <si>
    <t xml:space="preserve"> </t>
  </si>
  <si>
    <t>Picanto_PTZ</t>
    <phoneticPr fontId="10" type="noConversion"/>
  </si>
  <si>
    <t>Intel Panther Lake H404</t>
    <phoneticPr fontId="10" type="noConversion"/>
  </si>
  <si>
    <t xml:space="preserve">Acer Nitro V 16 AI </t>
  </si>
  <si>
    <t>ANV16-I51</t>
  </si>
  <si>
    <t>3, small qty</t>
    <phoneticPr fontId="10" type="noConversion"/>
  </si>
  <si>
    <t>Picanto_GG</t>
  </si>
  <si>
    <t>Wade Liu</t>
  </si>
  <si>
    <t>ANV16-A71</t>
    <phoneticPr fontId="10" type="noConversion"/>
  </si>
  <si>
    <t>Picanto_HKH</t>
  </si>
  <si>
    <t>AMD Hawk Point</t>
  </si>
  <si>
    <t xml:space="preserve">NV Board 2 </t>
  </si>
  <si>
    <t>ANV16-A31</t>
  </si>
  <si>
    <t>X</t>
  </si>
  <si>
    <t>Picanto_RTH</t>
    <phoneticPr fontId="10" type="noConversion"/>
  </si>
  <si>
    <t>Intel Rapter Lake H-R</t>
  </si>
  <si>
    <t>NV Board 2</t>
    <phoneticPr fontId="10" type="noConversion"/>
  </si>
  <si>
    <t>Acer Nitro V 16</t>
  </si>
  <si>
    <t>ANV16-I31</t>
  </si>
  <si>
    <t>Delhi_RTX</t>
  </si>
  <si>
    <t>Intel Rapter Lake HX-R</t>
  </si>
  <si>
    <t xml:space="preserve">ANV16-I11 </t>
  </si>
  <si>
    <t xml:space="preserve">Sportswagon_RTH </t>
  </si>
  <si>
    <t>Intel Raptor Lake H-R</t>
    <phoneticPr fontId="10" type="noConversion"/>
  </si>
  <si>
    <t>Acer Nitro V 17</t>
  </si>
  <si>
    <t>ANV17-I31</t>
  </si>
  <si>
    <t>EMEA</t>
    <phoneticPr fontId="10" type="noConversion"/>
  </si>
  <si>
    <t>Sportage2_RBH</t>
    <phoneticPr fontId="10" type="noConversion"/>
  </si>
  <si>
    <t>AMD Rarmbrandt-R 100 Series</t>
    <phoneticPr fontId="10" type="noConversion"/>
  </si>
  <si>
    <t>Acer Nitro V 15</t>
    <phoneticPr fontId="10" type="noConversion"/>
  </si>
  <si>
    <t>ANV15-A31</t>
    <phoneticPr fontId="10" type="noConversion"/>
  </si>
  <si>
    <t>Nitro V S</t>
    <phoneticPr fontId="10" type="noConversion"/>
  </si>
  <si>
    <t>🌟</t>
    <phoneticPr fontId="10" type="noConversion"/>
  </si>
  <si>
    <t>Sorento_PTZ</t>
    <phoneticPr fontId="10" type="noConversion"/>
  </si>
  <si>
    <t>Intel Panther Lake H404</t>
  </si>
  <si>
    <t>Acer Nitro V 16S AI</t>
    <phoneticPr fontId="10" type="noConversion"/>
  </si>
  <si>
    <t>ANV16S-I51</t>
  </si>
  <si>
    <t>Atlas</t>
    <phoneticPr fontId="10" type="noConversion"/>
  </si>
  <si>
    <t>G310_PTG</t>
    <phoneticPr fontId="10" type="noConversion"/>
  </si>
  <si>
    <t>Intel Panther Lake [HH]</t>
    <phoneticPr fontId="10" type="noConversion"/>
  </si>
  <si>
    <t>On Board</t>
    <phoneticPr fontId="10" type="noConversion"/>
  </si>
  <si>
    <t>Phoebe Chiu</t>
    <phoneticPr fontId="10" type="noConversion"/>
  </si>
  <si>
    <t>Predator Atlas 7</t>
    <phoneticPr fontId="10" type="noConversion"/>
  </si>
  <si>
    <t>PA07-I51</t>
    <phoneticPr fontId="10" type="noConversion"/>
  </si>
  <si>
    <t>Q3 2026</t>
    <phoneticPr fontId="10" type="noConversion"/>
  </si>
  <si>
    <t>F900_PTG</t>
    <phoneticPr fontId="10" type="noConversion"/>
  </si>
  <si>
    <t>Ken Li</t>
    <phoneticPr fontId="10" type="noConversion"/>
  </si>
  <si>
    <t>Predator Atlas 8</t>
    <phoneticPr fontId="10" type="noConversion"/>
  </si>
  <si>
    <t>PA08-I51</t>
    <phoneticPr fontId="10" type="noConversion"/>
  </si>
  <si>
    <t>IFA GPC</t>
    <phoneticPr fontId="10" type="noConversion"/>
  </si>
  <si>
    <t>NITRO Blaze
GN-771</t>
    <phoneticPr fontId="10" type="noConversion"/>
  </si>
  <si>
    <t>ROG Ally X (2024)</t>
    <phoneticPr fontId="10" type="noConversion"/>
  </si>
  <si>
    <r>
      <t>ROG Ally Gaming Console (2023)
RC71L
RC71L-ALLY.Z1</t>
    </r>
    <r>
      <rPr>
        <sz val="11"/>
        <color rgb="FF00B0F0"/>
        <rFont val="Predator"/>
        <family val="3"/>
      </rPr>
      <t>X</t>
    </r>
    <r>
      <rPr>
        <sz val="11"/>
        <color theme="1"/>
        <rFont val="Predator"/>
        <family val="3"/>
      </rPr>
      <t>_512</t>
    </r>
    <phoneticPr fontId="10" type="noConversion"/>
  </si>
  <si>
    <t>ROG Ally Gaming Console (2023)
RC71L
RC71L-ALLY.Z1_512</t>
    <phoneticPr fontId="10" type="noConversion"/>
  </si>
  <si>
    <t>MSI Claw
A1M-050US</t>
    <phoneticPr fontId="10" type="noConversion"/>
  </si>
  <si>
    <t>MSI Claw
A1M-051US</t>
    <phoneticPr fontId="10" type="noConversion"/>
  </si>
  <si>
    <t xml:space="preserve">MSI Claw
A1M-052US </t>
    <phoneticPr fontId="10" type="noConversion"/>
  </si>
  <si>
    <t>MSI Claw
A1M-229US</t>
    <phoneticPr fontId="10" type="noConversion"/>
  </si>
  <si>
    <t>Lenovo Legion Go</t>
    <phoneticPr fontId="10" type="noConversion"/>
  </si>
  <si>
    <t>Operating System</t>
  </si>
  <si>
    <t xml:space="preserve">Windows 11 Home </t>
    <phoneticPr fontId="10" type="noConversion"/>
  </si>
  <si>
    <t>Windows 11 Home</t>
  </si>
  <si>
    <t>Windows 11 Home</t>
    <phoneticPr fontId="10" type="noConversion"/>
  </si>
  <si>
    <t>Windows 11 Pro</t>
    <phoneticPr fontId="10" type="noConversion"/>
  </si>
  <si>
    <t>AMD Ryzen™ 7 8840HS_x000B_(3.3GHz up to 5.1GHz, 8 Cores 16 Threads, 24MB Cache)
AMD Ryzen™ AI Support total 38 TOPS</t>
    <phoneticPr fontId="10" type="noConversion"/>
  </si>
  <si>
    <t>AMD Ryzen™ Z1 7840U Extreme Processor ("Zen4" architecture with 4nm process, 8-core /16-threads, 24MB total cache, up to 5.10 Ghz boost)</t>
    <phoneticPr fontId="10" type="noConversion"/>
  </si>
  <si>
    <t>AMD Ryzen™ Z1 Processor ("Zen4" architecture with 4nm process, 6-core /12-threads, 22MB total cache, up to 4.90 Ghz boost)</t>
    <phoneticPr fontId="10" type="noConversion"/>
  </si>
  <si>
    <t>Intel® Core™ Ultra 7 processor 155H with Intel® AI Boost (NPU)
16 cores (6 P-cores + 8 E-cores + 2 Low Power E-cores), Max Turbo Frequency 4.8 GHz</t>
    <phoneticPr fontId="10" type="noConversion"/>
  </si>
  <si>
    <t>Intel® Core™ Ultra 5 processor 135H with Intel® AI Boost (NPU)
14 cores (4 P-cores + 8 E-cores + 2 Low Power E-cores), Max Turbo Frequency 4.6 GHz</t>
    <phoneticPr fontId="10" type="noConversion"/>
  </si>
  <si>
    <t>AMD Ryzen Z1 Extreme</t>
    <phoneticPr fontId="10" type="noConversion"/>
  </si>
  <si>
    <t>AMD Radeon™ 780M_x000B_(Up to 2.7GHz, AMD RDNA™ 3 12 CUs)</t>
    <phoneticPr fontId="10" type="noConversion"/>
  </si>
  <si>
    <t>AMD Radeon™ Graphics 780M (AMD RDNA™ 3, 12 CUs, up to 2.7 GHz, up to 8.6 Teraflops)</t>
    <phoneticPr fontId="10" type="noConversion"/>
  </si>
  <si>
    <t>AMD Radeon™ Graphics (AMD RDNA™ 3, 4 CUs, up to 2.5 GHz, up to 2.8 Teraflops)</t>
    <phoneticPr fontId="10" type="noConversion"/>
  </si>
  <si>
    <t>Intel® Arc Graphics
8 Xᵉ-Cores</t>
    <phoneticPr fontId="10" type="noConversion"/>
  </si>
  <si>
    <t>AMD Radeon™
Graphics</t>
    <phoneticPr fontId="10" type="noConversion"/>
  </si>
  <si>
    <t>TDP</t>
    <phoneticPr fontId="10" type="noConversion"/>
  </si>
  <si>
    <t>10W-30W</t>
    <phoneticPr fontId="10" type="noConversion"/>
  </si>
  <si>
    <t xml:space="preserve">9-30W </t>
    <phoneticPr fontId="10" type="noConversion"/>
  </si>
  <si>
    <t>9-30W</t>
    <phoneticPr fontId="10" type="noConversion"/>
  </si>
  <si>
    <t>Display</t>
  </si>
  <si>
    <t>7-inch
FHD 1920 x 1080
144Hz 
500nits 
10 points - touch panel_x000B_Reponse time: 7ms
100% sRGB
AMD FreeSync™ Premium</t>
    <phoneticPr fontId="10" type="noConversion"/>
  </si>
  <si>
    <r>
      <t xml:space="preserve">7-inch
FHD (1920 x 1080) 16:9
IPS-level </t>
    </r>
    <r>
      <rPr>
        <sz val="11"/>
        <color rgb="FFFF0000"/>
        <rFont val="Predator"/>
        <family val="3"/>
      </rPr>
      <t>???</t>
    </r>
    <r>
      <rPr>
        <sz val="11"/>
        <color theme="1"/>
        <rFont val="Predator"/>
        <family val="3"/>
      </rPr>
      <t xml:space="preserve">
glossy display
sRGB:100%
</t>
    </r>
    <r>
      <rPr>
        <sz val="11"/>
        <rFont val="Predator"/>
        <family val="3"/>
      </rPr>
      <t>Adobe:75.35%</t>
    </r>
    <r>
      <rPr>
        <sz val="11"/>
        <color rgb="FFFF0000"/>
        <rFont val="Predator"/>
        <family val="3"/>
      </rPr>
      <t xml:space="preserve"> ???</t>
    </r>
    <r>
      <rPr>
        <sz val="11"/>
        <color theme="1"/>
        <rFont val="Predator"/>
        <family val="3"/>
      </rPr>
      <t xml:space="preserve">
Gorilla® Glass Victus™
Touch Screen (10-point multi-touch)
Refresh Rate:120Hz
Response Time:7ms
Brightness:500nits
FreeSync Premium</t>
    </r>
    <phoneticPr fontId="10" type="noConversion"/>
  </si>
  <si>
    <r>
      <t xml:space="preserve">7-inch
FHD (1920 x 1080) 16:9
IPS-level
glossy display
sRGB:100%
Adobe:75.35%
</t>
    </r>
    <r>
      <rPr>
        <sz val="11"/>
        <color rgb="FF00B0F0"/>
        <rFont val="Predator"/>
        <family val="3"/>
      </rPr>
      <t>Gorilla® Glass DXC</t>
    </r>
    <r>
      <rPr>
        <sz val="11"/>
        <color theme="1"/>
        <rFont val="Predator"/>
        <family val="3"/>
      </rPr>
      <t xml:space="preserve">
Gorilla® Glass Victus™
Touch Screen (10-point multi-touch)
Refresh Rate:120Hz
Response Time:7ms
Brightness:500nits
FreeSync Premium</t>
    </r>
    <phoneticPr fontId="10" type="noConversion"/>
  </si>
  <si>
    <r>
      <t xml:space="preserve">7-inch
FHD (1920 x 1080) 16:9
IPS-level
glossy display
sRGB:100%
Adobe:75.35%
</t>
    </r>
    <r>
      <rPr>
        <sz val="11"/>
        <color rgb="FF00B0F0"/>
        <rFont val="Predator"/>
        <family val="3"/>
      </rPr>
      <t>Gorilla® Glass DXC</t>
    </r>
    <r>
      <rPr>
        <sz val="11"/>
        <color theme="6" tint="0.39997558519241921"/>
        <rFont val="Predator"/>
        <family val="3"/>
      </rPr>
      <t xml:space="preserve">
</t>
    </r>
    <r>
      <rPr>
        <sz val="11"/>
        <color theme="1"/>
        <rFont val="Predator"/>
        <family val="3"/>
      </rPr>
      <t>Gorilla® Glass Victus™
Touch Screen (10-point multi-touch)
Refresh Rate:120Hz
Response Time:7ms
Brightness:500nits
FreeSync Premium</t>
    </r>
    <phoneticPr fontId="10" type="noConversion"/>
  </si>
  <si>
    <t>7-inch
FHD(1920x1080) 16:9
IPS-level
sRGB:100%
Touch Screen
Refresh Rate:120Hz
Brightness:500nits</t>
    <phoneticPr fontId="10" type="noConversion"/>
  </si>
  <si>
    <t>8.8-inch 
QHD (2560 x 1600) IPS, 500 nits
16:10 aspect ratio
144Hz refresh rate
97% DCI-P3
10-point touchscreen
Gorilla® Glass</t>
    <phoneticPr fontId="10" type="noConversion"/>
  </si>
  <si>
    <t>Memory</t>
  </si>
  <si>
    <t>16GB LPDDR5x 7500MHz (onboard)</t>
    <phoneticPr fontId="10" type="noConversion"/>
  </si>
  <si>
    <t>12GB*2 LPDDR5 on board
Support dual channel memory</t>
    <phoneticPr fontId="10" type="noConversion"/>
  </si>
  <si>
    <t>16GB LPDDR5 on board (6400MT/s dual channel)</t>
    <phoneticPr fontId="10" type="noConversion"/>
  </si>
  <si>
    <t>16GB LPDDR5-6400MHz</t>
    <phoneticPr fontId="10" type="noConversion"/>
  </si>
  <si>
    <t>16GB 7500Mhz LPDDR5X (onboard)</t>
    <phoneticPr fontId="10" type="noConversion"/>
  </si>
  <si>
    <t>Storage</t>
  </si>
  <si>
    <t>512GB M.2 2280 NVMe™ PCIe® 4.0 x4  Gen 4 SSD up to 2TB</t>
    <phoneticPr fontId="10" type="noConversion"/>
  </si>
  <si>
    <t>1TB PCIe® 4.0 NVMe™ M.2 SSD (2280)</t>
    <phoneticPr fontId="10" type="noConversion"/>
  </si>
  <si>
    <t>512GB PCIe® 4.0 NVMe™ M.2 SSD (2230)</t>
    <phoneticPr fontId="10" type="noConversion"/>
  </si>
  <si>
    <t>1TB NVMe SSD Gen4x4 2230</t>
    <phoneticPr fontId="10" type="noConversion"/>
  </si>
  <si>
    <t>512GB NVMe SSD Gen4x4 2230</t>
    <phoneticPr fontId="10" type="noConversion"/>
  </si>
  <si>
    <t>Up to 1TB PCIe 4.0 NVMe M.2 2242</t>
    <phoneticPr fontId="10" type="noConversion"/>
  </si>
  <si>
    <t>I/O Ports</t>
  </si>
  <si>
    <t>2 x Type-C 40Gbps_x000B_
Micro SD Card (SD4.0)</t>
    <phoneticPr fontId="10" type="noConversion"/>
  </si>
  <si>
    <r>
      <t xml:space="preserve">1x 3.5mm Combo Audio Jack
</t>
    </r>
    <r>
      <rPr>
        <sz val="11"/>
        <color rgb="FF00B0F0"/>
        <rFont val="Predator"/>
        <family val="3"/>
      </rPr>
      <t xml:space="preserve">1x USB 3.2 Gen 2 Type-C support DisplayPort™ / power delivery
1x Type C support USB 4 (Thunderbolt™ 4 compliance, DisplayPort™ 1.4 with Freesync support, Power Delivery 3.0)
</t>
    </r>
    <r>
      <rPr>
        <sz val="11"/>
        <color theme="1"/>
        <rFont val="Predator"/>
        <family val="3"/>
      </rPr>
      <t>1x UHS-II microSD card reader (supports SD, SDXC and SDHC)</t>
    </r>
    <phoneticPr fontId="10" type="noConversion"/>
  </si>
  <si>
    <t>1x 3.5mm Combo Audio Jack
1x ROG XG Mobile Interface and USB Type-C combo port (with USB 3.2 Gen2, support DisplayPort™ 1.4)
1x UHS-II microSD card reader (supports SD, SDXC and SDHC)</t>
    <phoneticPr fontId="10" type="noConversion"/>
  </si>
  <si>
    <t>1x Audio Combo (1/8")
1x Thunderbolt™ 4
1x HDMI
card reader:SD4.0</t>
    <phoneticPr fontId="10" type="noConversion"/>
  </si>
  <si>
    <t>1x Headphone / mic combo
2x USB-C 4.0 (DisplayPort™ 1.4, Power Delivery 3.0)
1x MicroSD card reader (supports up to 2TB)</t>
    <phoneticPr fontId="10" type="noConversion"/>
  </si>
  <si>
    <t>Control and Input</t>
  </si>
  <si>
    <t>A B X Y
D-Pad
LB/RB Bumpers
LS/RS Sticks
LT/RT Hall linear triggers
Power-on button support fingerprint power-on
Volume button
Select button
Start button
Home button (Long press XBOX key)
Pop-up keyboard button
Quick button (Long press Game Assistant
Energy Saving button</t>
    <phoneticPr fontId="10" type="noConversion"/>
  </si>
  <si>
    <r>
      <t xml:space="preserve">A B X Y buttons
D-pad </t>
    </r>
    <r>
      <rPr>
        <sz val="11"/>
        <color rgb="FFFF0000"/>
        <rFont val="Predator"/>
        <family val="3"/>
      </rPr>
      <t>???</t>
    </r>
    <r>
      <rPr>
        <sz val="11"/>
        <color theme="1"/>
        <rFont val="Predator"/>
        <family val="3"/>
      </rPr>
      <t xml:space="preserve">
L &amp; R Hall Effect analog triggers
L &amp; R bumpers
View button
Menu button
Command Center button
Armoury Crate button </t>
    </r>
    <r>
      <rPr>
        <sz val="11"/>
        <color rgb="FFFF0000"/>
        <rFont val="Predator"/>
        <family val="3"/>
      </rPr>
      <t>???</t>
    </r>
    <r>
      <rPr>
        <sz val="11"/>
        <color theme="1"/>
        <rFont val="Predator"/>
        <family val="3"/>
      </rPr>
      <t xml:space="preserve">
2 x assignable grip buttons
Thumbsticks: 2 x full-size analog sticks
Haptics: HD haptics </t>
    </r>
    <r>
      <rPr>
        <sz val="11"/>
        <color rgb="FFFF0000"/>
        <rFont val="Predator"/>
        <family val="3"/>
      </rPr>
      <t>???</t>
    </r>
    <r>
      <rPr>
        <sz val="11"/>
        <color theme="1"/>
        <rFont val="Predator"/>
        <family val="3"/>
      </rPr>
      <t xml:space="preserve">
Gyro:6-Axis IMU </t>
    </r>
    <r>
      <rPr>
        <sz val="11"/>
        <color rgb="FFFF0000"/>
        <rFont val="Predator"/>
        <family val="3"/>
      </rPr>
      <t>???</t>
    </r>
    <phoneticPr fontId="10" type="noConversion"/>
  </si>
  <si>
    <t>A B X Y buttons
D-pad
L &amp; R Hall Effect analog triggers
L &amp; R bumpers
View button
Menu button
Command Center button
Armoury Crate button
2 x assignable grip buttons
Thumbsticks: 2 x full-size analog sticks
Haptics: HD haptics
Gyro:6-Axis IMU</t>
    <phoneticPr fontId="10" type="noConversion"/>
  </si>
  <si>
    <r>
      <t>Hall Effect Joysticks and Triggers</t>
    </r>
    <r>
      <rPr>
        <sz val="11"/>
        <color rgb="FFFF0000"/>
        <rFont val="Predator"/>
        <family val="3"/>
      </rPr>
      <t>???</t>
    </r>
    <phoneticPr fontId="10" type="noConversion"/>
  </si>
  <si>
    <t>Hall Effect Joysticks and Triggers</t>
    <phoneticPr fontId="10" type="noConversion"/>
  </si>
  <si>
    <t>Legion L/R
ABXY buttons
D-pad
L &amp; R hall effect joysticks
L &amp; R bumpers
L &amp; R analog triggers
Legion L &amp; R buttons
View button (L)
Menu button (L)
Trackpad (R)
6x assignable grip buttons
Mouse wheel (R)
Mouse sensor (R)
2x controllers release buttons
Haptics: HD Haptics
Gyro: 6-Axis IMU</t>
    <phoneticPr fontId="10" type="noConversion"/>
  </si>
  <si>
    <t>Audio</t>
  </si>
  <si>
    <t>Speaker: 2 x 1W
Microphone: 2 x D-MIC
Audio Jack: 3.5mm CTIA</t>
    <phoneticPr fontId="10" type="noConversion"/>
  </si>
  <si>
    <r>
      <t xml:space="preserve">AI noise-canceling technology
Hi-Res certification (for headphone)
</t>
    </r>
    <r>
      <rPr>
        <sz val="11"/>
        <color rgb="FF00B0F0"/>
        <rFont val="Predator"/>
        <family val="3"/>
      </rPr>
      <t xml:space="preserve">Smart Amp Technology </t>
    </r>
    <r>
      <rPr>
        <sz val="11"/>
        <color rgb="FFFF0000"/>
        <rFont val="Predator"/>
        <family val="3"/>
      </rPr>
      <t>???</t>
    </r>
    <r>
      <rPr>
        <sz val="11"/>
        <color rgb="FF00B0F0"/>
        <rFont val="Predator"/>
        <family val="3"/>
      </rPr>
      <t xml:space="preserve">
</t>
    </r>
    <r>
      <rPr>
        <sz val="11"/>
        <color theme="1"/>
        <rFont val="Predator"/>
        <family val="3"/>
      </rPr>
      <t>Dolby Atmos
Built-in array microphone
2-speaker system with Smart Amplifier Technology</t>
    </r>
    <phoneticPr fontId="10" type="noConversion"/>
  </si>
  <si>
    <t>AI noise-canceling technology
Hi-Res certification (for headphone)
Dolby Atmos
Built-in array microphone
2-speaker system with Smart Amplifier Technology</t>
    <phoneticPr fontId="10" type="noConversion"/>
  </si>
  <si>
    <t>2x2W Speakers Hi-Res</t>
    <phoneticPr fontId="10" type="noConversion"/>
  </si>
  <si>
    <t>2 x 2W Speakers
Dual-array near-field microphone</t>
    <phoneticPr fontId="10" type="noConversion"/>
  </si>
  <si>
    <t>WLAN</t>
    <phoneticPr fontId="10" type="noConversion"/>
  </si>
  <si>
    <t xml:space="preserve">Wi-Fi 6E(802.11ax) </t>
    <phoneticPr fontId="10" type="noConversion"/>
  </si>
  <si>
    <t>Wi-Fi 6E(802.11ax) (Triple band) 2*2</t>
    <phoneticPr fontId="10" type="noConversion"/>
  </si>
  <si>
    <t>Killer WiFi 7 BE1750</t>
    <phoneticPr fontId="10" type="noConversion"/>
  </si>
  <si>
    <t>Wi-Fi® 6E RZ616, 802.11ax 2x2</t>
  </si>
  <si>
    <t>Bluetooth</t>
    <phoneticPr fontId="10" type="noConversion"/>
  </si>
  <si>
    <t>Battery</t>
  </si>
  <si>
    <t>50.04Wh Li-Polymer</t>
    <phoneticPr fontId="10" type="noConversion"/>
  </si>
  <si>
    <r>
      <rPr>
        <sz val="11"/>
        <color rgb="FF00B0F0"/>
        <rFont val="Predator"/>
        <family val="3"/>
      </rPr>
      <t>80WHrs</t>
    </r>
    <r>
      <rPr>
        <sz val="11"/>
        <color theme="1"/>
        <rFont val="Predator"/>
        <family val="3"/>
      </rPr>
      <t>, 4S1P, 4-cell Li-ion</t>
    </r>
    <phoneticPr fontId="10" type="noConversion"/>
  </si>
  <si>
    <t>40WHrs, 4S1P, 4-cell Li-ion</t>
    <phoneticPr fontId="10" type="noConversion"/>
  </si>
  <si>
    <t>53Whr, 6 cell Li-ion</t>
    <phoneticPr fontId="10" type="noConversion"/>
  </si>
  <si>
    <t>49.2WHr, 2-cell
Super Rapid Charge( (10min charge 0~30% capacity, 30min charge 0~70%
capacity, 80min charge 0~100% capacity)
Controller battery capacity: 900mah</t>
    <phoneticPr fontId="10" type="noConversion"/>
  </si>
  <si>
    <t>Power Supply</t>
  </si>
  <si>
    <t>65W Type-C AC Adapter</t>
    <phoneticPr fontId="10" type="noConversion"/>
  </si>
  <si>
    <t>TYPE-C, 65W AC Adapter, Output: 20V DC, 3.25A, 65W, Input: 100~240V AC 50/60Hz universal</t>
  </si>
  <si>
    <t>TYPE-C, 65W AC Adapter, Output: 20V DC, 3.25A, 65W, Input: 100~240V AC 50/60Hz universal</t>
    <phoneticPr fontId="10" type="noConversion"/>
  </si>
  <si>
    <t>65W</t>
    <phoneticPr fontId="10" type="noConversion"/>
  </si>
  <si>
    <t>• 65W USB-C® (3-pin) AC adapter, supports PD 3.0, 100-240V, 50-60Hz
• 65W USB-C® slim (wall-mount) AC adapter, supports PD 3.0, 100-240V, 50-60Hz</t>
    <phoneticPr fontId="10" type="noConversion"/>
  </si>
  <si>
    <t>Customized SW</t>
    <phoneticPr fontId="10" type="noConversion"/>
  </si>
  <si>
    <t>Acer Game Space</t>
    <phoneticPr fontId="10" type="noConversion"/>
  </si>
  <si>
    <r>
      <t xml:space="preserve">YES </t>
    </r>
    <r>
      <rPr>
        <sz val="11"/>
        <color rgb="FFFF0000"/>
        <rFont val="Predator"/>
        <family val="3"/>
      </rPr>
      <t>???</t>
    </r>
    <phoneticPr fontId="10" type="noConversion"/>
  </si>
  <si>
    <t>YES</t>
    <phoneticPr fontId="10" type="noConversion"/>
  </si>
  <si>
    <t>YES(MSI Center M)</t>
    <phoneticPr fontId="10" type="noConversion"/>
  </si>
  <si>
    <t>Weight</t>
  </si>
  <si>
    <t>670g</t>
    <phoneticPr fontId="10" type="noConversion"/>
  </si>
  <si>
    <t>678 g (1.49 lbs)</t>
    <phoneticPr fontId="10" type="noConversion"/>
  </si>
  <si>
    <t>608 g</t>
    <phoneticPr fontId="10" type="noConversion"/>
  </si>
  <si>
    <t>854 g (1.88 lbs)</t>
  </si>
  <si>
    <t>Dimensions (W x D x H)</t>
  </si>
  <si>
    <t>25.6 x 11.35 x 2.25 cm</t>
    <phoneticPr fontId="10" type="noConversion"/>
  </si>
  <si>
    <t>28.6 x 11.1 x 2.47 ~ 3.69 cm
(11.26" x 4.37" x 0.97" ~ 1.45")</t>
    <phoneticPr fontId="10" type="noConversion"/>
  </si>
  <si>
    <t>28.0 x 11.1 x 2.12 ~ 3.24 cm
(11.02" x 4.37" x 0.83" ~ 1.28")</t>
    <phoneticPr fontId="10" type="noConversion"/>
  </si>
  <si>
    <t>29.39 x 11.71 x 2.12 cm
(11.57" x 4.61" x 0.83")</t>
    <phoneticPr fontId="10" type="noConversion"/>
  </si>
  <si>
    <t>29.88 x 13.1 x 4.07 cm
(11.76 x 5.16 x 1.60 inches)</t>
    <phoneticPr fontId="10" type="noConversion"/>
  </si>
  <si>
    <t>Xbox Game Pass</t>
  </si>
  <si>
    <t>PC Game Pass_3 months</t>
    <phoneticPr fontId="10" type="noConversion"/>
  </si>
  <si>
    <t>Xbox Game Pass Ultimate_3 months</t>
    <phoneticPr fontId="10" type="noConversion"/>
  </si>
  <si>
    <t>N/A</t>
    <phoneticPr fontId="10" type="noConversion"/>
  </si>
  <si>
    <t>Security</t>
  </si>
  <si>
    <t>Fingerprint Sensor</t>
    <phoneticPr fontId="10" type="noConversion"/>
  </si>
  <si>
    <t>Built-in Fingerprint Sensor
Microsoft Pluton security processor</t>
    <phoneticPr fontId="10" type="noConversion"/>
  </si>
  <si>
    <t>power button with TPM</t>
    <phoneticPr fontId="10" type="noConversion"/>
  </si>
  <si>
    <t>Firmware TPM 2.0 integrated in SoC</t>
  </si>
  <si>
    <t>Docking</t>
    <phoneticPr fontId="10" type="noConversion"/>
  </si>
  <si>
    <t>Bag</t>
    <phoneticPr fontId="10" type="noConversion"/>
  </si>
  <si>
    <t>Price</t>
    <phoneticPr fontId="10" type="noConversion"/>
  </si>
  <si>
    <t>　</t>
  </si>
  <si>
    <t>MASTER SPEC SHEET - 2026 GAMING LAPTOP PROJECTS</t>
  </si>
  <si>
    <t>Project Terminated</t>
  </si>
  <si>
    <t>　Transferred to Aspire</t>
  </si>
  <si>
    <t>Predator Helios 18 AI</t>
  </si>
  <si>
    <t>Predator Helios Neo 16 AI</t>
  </si>
  <si>
    <t>Predator Helios Neo 16</t>
  </si>
  <si>
    <t>Predator Helios Neo 18 AI</t>
  </si>
  <si>
    <t>Acer Nitro 16 AI</t>
  </si>
  <si>
    <t>Acer Nitro 16</t>
  </si>
  <si>
    <t>Acer Nitro Edge 16 AI</t>
  </si>
  <si>
    <t>Acer Nitro V 16S AI</t>
  </si>
  <si>
    <t>Acer Nitro V 16 AI</t>
  </si>
  <si>
    <t>Acer Nitro V 15</t>
  </si>
  <si>
    <t>SPEC</t>
  </si>
  <si>
    <t>MacanS_ARX</t>
  </si>
  <si>
    <t>MacanS_RTX</t>
    <phoneticPr fontId="10" type="noConversion"/>
  </si>
  <si>
    <t>iX2_ARX</t>
  </si>
  <si>
    <t>Urus_PTW</t>
  </si>
  <si>
    <t>Urus_Ni</t>
  </si>
  <si>
    <t>Picanto_RTH</t>
  </si>
  <si>
    <t>Sportswagon_RTH</t>
  </si>
  <si>
    <t>Sportage2_RBH</t>
  </si>
  <si>
    <t>Unique Feature</t>
  </si>
  <si>
    <t>6th Gen AeroBlade 3D Fans
MegKey 4.0
6 Speakers with Predator Vox
4K Mini LED
Calman Verified
Dual-mode Display (4K)
Thunderbolt 5
WiFi 7</t>
    <phoneticPr fontId="10" type="noConversion"/>
  </si>
  <si>
    <t>Slim
Copilot+ PC
OLED Display
Metal Chassis (A/D)
Calman Verified</t>
    <phoneticPr fontId="10" type="noConversion"/>
  </si>
  <si>
    <t>Slim
OLED Display
Metal Chassis (A/D)
Calman Verified</t>
    <phoneticPr fontId="10" type="noConversion"/>
  </si>
  <si>
    <t>OLED Display
Calman Verified</t>
    <phoneticPr fontId="10" type="noConversion"/>
  </si>
  <si>
    <t>ACR Film (Ambient Contrast Ratio)</t>
  </si>
  <si>
    <t>Copilot+ PC</t>
  </si>
  <si>
    <t>Ultra Thin
UMA
Copilot+ PC
OLED Display
Metal Chassis (A/D)
Anti-fingerprint Coating (A/D)</t>
  </si>
  <si>
    <t>Ultra Thin
UMA
OLED 2.8K
Copilot+ PC (TBC)
WiFi 7
Metal Chassis (A/D)</t>
  </si>
  <si>
    <t>Slim
Copilot+ PC
Camera Shutter
Metal Chassis (A/D)</t>
  </si>
  <si>
    <t>Copilot+ PC
Camera Shutter</t>
  </si>
  <si>
    <t>Camera Shutter</t>
  </si>
  <si>
    <t>AI Feature</t>
  </si>
  <si>
    <t>Acer Intelligence Space</t>
  </si>
  <si>
    <t>Acer Intelligence Space (TBC)</t>
  </si>
  <si>
    <t>Processor</t>
  </si>
  <si>
    <t>Intel Core Ultra 9 processor 290HX Plus
(Arrow Lake-HX R)</t>
  </si>
  <si>
    <t>Intel Core Ultra 9 processor 386H
Intel Core Ultra 7 processor 356H
(Panthern Lake-H484)</t>
  </si>
  <si>
    <t xml:space="preserve">Intel Core Ultra 9 processor 290HX Plus
Intel Ultra 7 processor 270HX Plus
(Arrow Lake-HX R) </t>
  </si>
  <si>
    <t xml:space="preserve">Intel Core Ultra 9 processor 290HX Plus
Intel Ultra 7 processor 270HX Plus
(Arrow Lake-HX R) </t>
    <phoneticPr fontId="10" type="noConversion"/>
  </si>
  <si>
    <t>Intel Core i9 processor 14900HX
Intel Core i7 processor 14650HX
Intel Core i5 processor 14450HX
(Raptor Lake-HX R)</t>
  </si>
  <si>
    <t>AMD Ryzen AI 400 Series
AMD Ryzen AI 7 450
(Gorgon Point)</t>
  </si>
  <si>
    <t>AMD Ryzen™ 9000 Series
AMD Ryzen™ 9 9955HX3D processor
AMD Ryzen™ 9 9955HX processor
(Fire Rang)</t>
    <phoneticPr fontId="10" type="noConversion"/>
  </si>
  <si>
    <t>Intel Core Ultra processor H12Xe
(Panther Lake)</t>
    <phoneticPr fontId="10" type="noConversion"/>
  </si>
  <si>
    <t>NVIDIA N1</t>
  </si>
  <si>
    <t>Intel Core Ultra 7 processor 355
(Panther Lake-404)</t>
  </si>
  <si>
    <t>Intel Core Ultra 7 processor 355
 Intel Core Ultra 5 processor 325
(Panther Lake-404)</t>
  </si>
  <si>
    <t>AMD Ryzen™ AI 400 Series processor
AMD Ryzen™ AI 9 465 processor
AMD Ryzen™ AI 7 450 processor
(Gorgon Point)</t>
    <phoneticPr fontId="10" type="noConversion"/>
  </si>
  <si>
    <t>Intel® Core™ 9 processor 270H
Intel® Core™ 7 processor 240H
Intel® Core™ 5 processor 210H
(Raptor Lake-H R)</t>
  </si>
  <si>
    <t>AMD Ryzen 200 Series
AMD Ryzen 9 270
 AMD Ryzen 7 260
AMD Ryzen 5 240
(Hawk Point)</t>
  </si>
  <si>
    <t>Up to Intel® Core™ 9 processor 270H
Intel® Core™ 7 processor 240H
Intel® Core™ 5 processor 210H
(Raptor Lake-H R)</t>
  </si>
  <si>
    <t>AMD Ryzen 100 Series
AMD Ryzen 7 170
AMD Ryzen 5 150
(Rembrandt R)</t>
    <phoneticPr fontId="10" type="noConversion"/>
  </si>
  <si>
    <t>Intel Core i9-14900HX processor
Intel Core i7-14650HX processor 
Intel Core i5-14450HX processor
(Raptor Lake-HX R)</t>
  </si>
  <si>
    <t>Processor AI TOPS [up to]</t>
  </si>
  <si>
    <t>TBC</t>
  </si>
  <si>
    <t>NA</t>
  </si>
  <si>
    <t>Processor Power</t>
  </si>
  <si>
    <t>Intel Application Optimization [APO]</t>
  </si>
  <si>
    <t>Yes</t>
  </si>
  <si>
    <t>Graphic Card</t>
  </si>
  <si>
    <t>NVIDIA® GN22-X11/X9
NVIDIA® RTX 5090
NVIDIA® RTX 5080
VRAM: 24GB/16GB GDDR7</t>
  </si>
  <si>
    <t>NVIDIA® GN22-X6/X4
NVIDIA® RTX 5070
NVIDIA® RTX 5060
VRAM: 12GB/8GB GDDR7</t>
    <phoneticPr fontId="10" type="noConversion"/>
  </si>
  <si>
    <t>NVIDIA® GN22-X9/X7/X6
NVIDIA® RTX 5080
NVIDIA® RTX 5070 Ti
NVIDIA® RTX 5070
VRAM: 16GB/12GB/8GB GDDR7</t>
    <phoneticPr fontId="10" type="noConversion"/>
  </si>
  <si>
    <t>NVIDIA® GN22-X9/X7/X6/X4
NVIDIA® RTX 5080
NVIDIA® RTX 5070 Ti
NVIDIA® RTX 5070
NVIDIA® RTX 5060
VRAM: 16GB/12GB/8GB GDDR7</t>
  </si>
  <si>
    <t>NVIDIA® GN22-X6/X4/X2
NVIDIA® RTX 5070
NVIDIA® RTX 5060
NVIDIA® RTX 5050
VRAM: 12GB/8GB GDDR7</t>
  </si>
  <si>
    <t>NVIDIA® GN22-X9/X7/X6/X4
NVIDIA® RTX 5080 
NVIDIA® RTX 5070 Ti 
NVIDIA® RTX 5070
NVIDIA® RTX 5060 
VRAM: 16GB/12GB/8GB GDDR7</t>
  </si>
  <si>
    <t>NVIDIA® GN22-X6/X4
NVIDIA® RTX 5070
NVIDIA® RTX 5060
VRAM: 8GB GDDR7</t>
  </si>
  <si>
    <t>NVIDIA® GN22-X7/X6
NVIDIA® RTX 5070 Ti
NVIDIA® RTX 5070
VRAM: 12GB/8GB GDDR7</t>
  </si>
  <si>
    <t>UMA
Up to Intel® Core Ultra 9 
Up to Intel® Core Ultra 7 
Up to Intel® Core Ultra 5
w/ built-in Intel® Arc GPU</t>
  </si>
  <si>
    <t>NVIDIA® GN22-X6/X4
NVIDIA® RTX 5070
NVIDIA® RTX 5060 
VRAM: 8GB GDDR7</t>
  </si>
  <si>
    <t>NVIDIA® GN22-X6/X4/X2
NVIDIA® RTX 5070
NVIDIA® RTX 5060
NVIDIA® RTX 5050
VRAM: 8GB GDDR7</t>
  </si>
  <si>
    <t>NVIDIA® GN22-X4/X2
NVIDIA® RTX 5060
NVIDIA® RTX 5050
VRAM: 8GB GDDR7</t>
  </si>
  <si>
    <t>Total Graphic Power [TGP]</t>
  </si>
  <si>
    <t>150w</t>
  </si>
  <si>
    <t>100W</t>
  </si>
  <si>
    <t>150W</t>
  </si>
  <si>
    <t>70W</t>
  </si>
  <si>
    <t>60W</t>
  </si>
  <si>
    <t>60 W</t>
  </si>
  <si>
    <t>115W</t>
  </si>
  <si>
    <t>Dynamic Boost</t>
  </si>
  <si>
    <t>25W</t>
  </si>
  <si>
    <t>15W</t>
  </si>
  <si>
    <t>15 W</t>
  </si>
  <si>
    <t>Max Graphic Power [MGP]</t>
  </si>
  <si>
    <t>175W</t>
  </si>
  <si>
    <t>85W</t>
  </si>
  <si>
    <t>75W</t>
  </si>
  <si>
    <t>75 W</t>
  </si>
  <si>
    <t>140W</t>
  </si>
  <si>
    <t>CPU + GPU
Total Design Power [TDP]</t>
  </si>
  <si>
    <t>95W+175W=270W</t>
  </si>
  <si>
    <t>35W+100W=135W</t>
  </si>
  <si>
    <t>Up to 60W+150W=210W</t>
  </si>
  <si>
    <t>30W+70W=100W</t>
  </si>
  <si>
    <t>35W+60W=95W</t>
  </si>
  <si>
    <t>30W+60W=90W</t>
  </si>
  <si>
    <t>50W+115W=165W</t>
  </si>
  <si>
    <t>GPU AI TOPS [up to]</t>
  </si>
  <si>
    <t>NVIDIA Advanced Optimus</t>
  </si>
  <si>
    <t>No</t>
  </si>
  <si>
    <t>MUX Switch</t>
  </si>
  <si>
    <t>Display
[Panel, Resolution, Refresh Rate,Response time, Color Gamut, Brightness]</t>
    <phoneticPr fontId="10" type="noConversion"/>
  </si>
  <si>
    <t>Size: 18.0"
Ratio: 16:10
Mini LED, WQUXGA 4K, 120Hz, 3ms, SDR mode 600 nits / HDR mode 1000 nits, DCI-P3 100%, Calman Verified, 
Support DUAL-MODE DISPLAY
Mini LED, WQXGA 2560 x 1600, 250Hz, 3ms, SDR mode 600 nits / HDR mode 1000 nits, DCI-P3 100%, Calman Verifired</t>
  </si>
  <si>
    <t>Size: 16"
Ratio: 16:10
OLED WQXGA 2560 x 1600, 500 nits, 165 Hz, 1ms, DCI-P3 100%, Calman Verified
HDR Trueblack 1000</t>
  </si>
  <si>
    <t>Size: 16"
Ratio: 16:10
OLED WQXGA 2560 x 1600 240 Hz, 1ms, DCI-P3 100%, Calman Verified, HDR Trueblack 600
OLED WQXGA 2560 x 1600 165 Hz, DCI-P3 100%, 3ms</t>
  </si>
  <si>
    <t>Size: 16.0"
Ratio: 16:10
OLED WQXGA 2560 x 1600, 165Hz, 1ms, 500 nits, DCI-P3 100%, Calman Verified
WQXGA 2560 x 1600, 240Hz, 500 nits, DCI-P3 100%, 3ms
WQXGA 2560 x 1600, 180Hz, 400 nits, sRGB 100%, 3ms</t>
  </si>
  <si>
    <t>Size: 16.0"
Ratio: 16:10
WQXGA 2560 x 1600, 180Hz, 400 nits, sRGB 100%, 3ms
WUXGA 1920 x 1200, 180 Hz 400 nits, sRGB 100%, 3ms</t>
  </si>
  <si>
    <t>Size: 18.0"
Ratio: 16:10
WQXGA 2560 x 1600, 240Hz, 500 nits, DCI-P3 100%, 9ms, ACR
WQXGA 2560 x 1600, 165Hz, 300 nits, sRGB 100%, 3ms</t>
  </si>
  <si>
    <t>16"
16:10
WQXGA 2560 x 1600 /180Hz/400 nits/3ms/sRGB 100%
WUXGA 1920 x 1200, 180 Hz</t>
  </si>
  <si>
    <t>16"
16:10
WQXGA 2560 x 1600, 240Hz, 500 nits, 3ms DCI-P3 %
WQXGA 2560 x 1600, 180Hz, 400 nits, 9ms, sRGB 100%</t>
  </si>
  <si>
    <t>16"
16:10
OLED WQXGA+ 2880 x 1800</t>
  </si>
  <si>
    <t>16"
16:10
OLED 2.8K 120Hz 
WUXGA 180 Hz</t>
  </si>
  <si>
    <t>Size: 16.0"
Ratio: 16:10
WUXGA 1920 x 1200/180Hz 9ms sRGB 100%
WUXGA 1920 x 1200/120Hz 25ms sRGB 100%</t>
  </si>
  <si>
    <t>Size: 16.0"
Ratio: 16:10
WUXGA 1920 x 1200/180Hz sRGB 100%
WUXGA 1920 x 1200/165Hz NTSC 45%</t>
  </si>
  <si>
    <t>Size: 16.0"
Ratio: 16:10
WUXGA 1920 x 1200/180Hz/3ms/sRGB 100%</t>
  </si>
  <si>
    <t>Size: 16.0"
Ratio: 16:10
WUXGA 1920 x 1200/180Hz sRGB 100%
WUXGA 1920 x 1200/120Hz sRGB 100%</t>
  </si>
  <si>
    <t>Size: 16.0"
Ratio: 16:10
WUXGA 1920 x 1200/180Hz sRGB 100%
WUXGA 1920 x 1200/165Hz sRGB 100%</t>
  </si>
  <si>
    <t>Size: 17.3"
Ratio: 16:9
FHD/144hz/25ms/NTSC 45%/250nits</t>
  </si>
  <si>
    <t xml:space="preserve">Size: 15.6"
Ratio: 16:9
Full HD 1920 x 1080, 180Hz, 3ms, 300 nits, sRGB 100%
Full HD 1920 x 1080, 165Hz, 300 nits, NTSC 45% </t>
  </si>
  <si>
    <t>Size: 16.0"
Ratio: 16:10
WUXGA 1920 x 1200 165Hz 8nits 400 nits sRGB 100%</t>
  </si>
  <si>
    <t>Screen To Body Ratio [STB]</t>
  </si>
  <si>
    <t>G-SYNC (Level)</t>
  </si>
  <si>
    <t>FreeSync (Level)</t>
  </si>
  <si>
    <t>HDR (High Dynamic Range)</t>
  </si>
  <si>
    <t>Thermal Solution</t>
  </si>
  <si>
    <t>Cooling Fan Material &amp; Qty</t>
  </si>
  <si>
    <t>6th Gen AeroBlade Metal Fan*2</t>
  </si>
  <si>
    <t>5th Gen AeroBlade Metal Fan*1
Plastic Fan*1</t>
    <phoneticPr fontId="10" type="noConversion"/>
  </si>
  <si>
    <t>5th Gen AeroBlade Metal Fan*1
Plastic Fan*1</t>
  </si>
  <si>
    <t>Plastic Fan*2
Dual-fan quad-intake quad-exhaust</t>
  </si>
  <si>
    <t>Plastic Fan*2
Dual-fan dual-intake dual-exhaust</t>
  </si>
  <si>
    <t>Plastic Fan*2
Dual-fan dual-intake dual-exhaust</t>
    <phoneticPr fontId="10" type="noConversion"/>
  </si>
  <si>
    <t>Liquid Metal Thermal Grease</t>
    <phoneticPr fontId="10" type="noConversion"/>
  </si>
  <si>
    <t>Vector Heat Pipes</t>
  </si>
  <si>
    <t>Vortex Flow</t>
  </si>
  <si>
    <t>Vapor Chamber</t>
  </si>
  <si>
    <t>Up to 256 GB
DDR5 4000 MT/s (TBC)
(64GB x4 CSO-DIMM)</t>
  </si>
  <si>
    <t>Up to 64 GB
DDR5 6400 MT/s</t>
  </si>
  <si>
    <t>Up to 64 GB
DDR5 6400 MT/s (TBD)</t>
  </si>
  <si>
    <t>Up to 64GB
DDR5 6400 MT/s</t>
  </si>
  <si>
    <t>Up to 32 GB
DDR5 5600 MT/s</t>
  </si>
  <si>
    <t>Up to 64 GB (TBC)
DDR5 6400 MT/s</t>
  </si>
  <si>
    <t>Up to 32GB
LPDDR5X</t>
  </si>
  <si>
    <t>Up to 32 GB
LPDDR5X</t>
  </si>
  <si>
    <t>Up to 32 GB
DDR5 5600 MT/s
SO-DIMM*2</t>
  </si>
  <si>
    <t>Up to 32 GB
DDR5 4800 MT/s
SO-DIMM*2</t>
  </si>
  <si>
    <t>Up to 6 TB PCIe M.2 SSD
Up to Gen 5*3
(HDD1-Gen5 PMP5
HDD2/HDD3 - Gen4 PM4)</t>
  </si>
  <si>
    <t>Up to 2 TB PCIe M.2 NVMe SSD
Gen 4*2</t>
  </si>
  <si>
    <t xml:space="preserve">Up to 2 TB PCIe M.2 SSD
Gen 4*2 </t>
    <phoneticPr fontId="10" type="noConversion"/>
  </si>
  <si>
    <t>Up to 2 TB PCIe M.2 SSD
Gen 4*2
or
PCIe M.2 Gen 4 SSD
SSD slot: 2
Up to 2 TB</t>
    <phoneticPr fontId="10" type="noConversion"/>
  </si>
  <si>
    <t>Up to 2 TB PCIe M.2 NVMe SSD
Gen 4*2</t>
    <phoneticPr fontId="10" type="noConversion"/>
  </si>
  <si>
    <t>Up to 2 TB PCIe M.2 SSD
Gen 4*2</t>
    <phoneticPr fontId="10" type="noConversion"/>
  </si>
  <si>
    <t>Up to 2 TB PCIe M.2 SSD
Gen 4*2</t>
  </si>
  <si>
    <t>Up to 2 TB PCIe M.2 SSD
Gen 5*1 (TBD) + Gen 4*1</t>
  </si>
  <si>
    <t>Up to 1 TB PCIe M.2 SSD
Gen 4*2</t>
  </si>
  <si>
    <t>Up to 1 TB PCIe M.2 NVMe SSD
Gen 4*1</t>
  </si>
  <si>
    <t>Wi-FI</t>
  </si>
  <si>
    <t>Kiler 1750x Wi-Fi 7</t>
  </si>
  <si>
    <t>Killer Wi-Fi 6E 1675i</t>
  </si>
  <si>
    <t>Wi-Fi 6E RZ616:E</t>
  </si>
  <si>
    <t>WiFi 7 M&amp;7925</t>
  </si>
  <si>
    <t>Killer Wi-Fi 6E</t>
  </si>
  <si>
    <t>Killer Wi-Fi 6E 1675i / AX211</t>
  </si>
  <si>
    <t>Wi-Fi 6E</t>
  </si>
  <si>
    <t>Killer Wi-Fi 6 1650i</t>
  </si>
  <si>
    <t>Wi-Fi 6</t>
  </si>
  <si>
    <t>Wi-Fi 6E AX211</t>
  </si>
  <si>
    <t>Bluetooth</t>
  </si>
  <si>
    <t>5.4 or above</t>
  </si>
  <si>
    <t>5.3 or above</t>
  </si>
  <si>
    <t>5.3+</t>
  </si>
  <si>
    <t>LAN</t>
  </si>
  <si>
    <t>Killer™ Ethernet E5000B</t>
  </si>
  <si>
    <t>Killer™ Ethernet E3100G</t>
  </si>
  <si>
    <t>Realtek RTL8125BGS-CG</t>
  </si>
  <si>
    <t>Killer™ Ethernet E2600</t>
  </si>
  <si>
    <t>Supports 10/100/1000 Mb/sec</t>
  </si>
  <si>
    <t>Battery [W]</t>
  </si>
  <si>
    <t>99 Wh</t>
  </si>
  <si>
    <t>92 Wh</t>
  </si>
  <si>
    <t>92Wh</t>
  </si>
  <si>
    <t xml:space="preserve"> 92 Wh</t>
  </si>
  <si>
    <t>84 Wh</t>
  </si>
  <si>
    <t>76 Wh</t>
  </si>
  <si>
    <t>53 Wh</t>
  </si>
  <si>
    <t>AC Power Adapter</t>
  </si>
  <si>
    <t>400W</t>
  </si>
  <si>
    <t>230W</t>
  </si>
  <si>
    <t>330W</t>
  </si>
  <si>
    <t>100W via Type C</t>
  </si>
  <si>
    <t>180W</t>
  </si>
  <si>
    <t>135W</t>
  </si>
  <si>
    <r>
      <rPr>
        <b/>
        <u/>
        <sz val="12"/>
        <color rgb="FF000000"/>
        <rFont val="Predator"/>
      </rPr>
      <t xml:space="preserve">TypeC
</t>
    </r>
    <r>
      <rPr>
        <sz val="12"/>
        <color rgb="FF000000"/>
        <rFont val="Predator"/>
      </rPr>
      <t xml:space="preserve">Thunderbolt™ 5*2
</t>
    </r>
    <r>
      <rPr>
        <b/>
        <u/>
        <sz val="12"/>
        <color rgb="FF000000"/>
        <rFont val="Predator"/>
      </rPr>
      <t xml:space="preserve">
Type A
</t>
    </r>
    <r>
      <rPr>
        <sz val="12"/>
        <color rgb="FF000000"/>
        <rFont val="Predator"/>
      </rPr>
      <t>USB 3.2 Gen 1*1
USB 3.2 Gen 2*1 (one with offline charging)
USB 3.2 Gen 1*1
HDMI 2.1*1
SD™ Card reader*1
3.5mm Combo Audio Jack*1
RJ-45*1
DC-In*1
K-lock*1</t>
    </r>
  </si>
  <si>
    <r>
      <rPr>
        <b/>
        <u/>
        <sz val="12"/>
        <color rgb="FF000000"/>
        <rFont val="Predator"/>
      </rPr>
      <t xml:space="preserve">TypeC
</t>
    </r>
    <r>
      <rPr>
        <sz val="12"/>
        <color rgb="FF000000"/>
        <rFont val="Predator"/>
      </rPr>
      <t xml:space="preserve">Thunderbolt™ 4*1
USB 3.2 Gen 2*1 (Full Function)
</t>
    </r>
    <r>
      <rPr>
        <b/>
        <u/>
        <sz val="12"/>
        <color rgb="FF000000"/>
        <rFont val="Predator"/>
      </rPr>
      <t xml:space="preserve">
Type A
</t>
    </r>
    <r>
      <rPr>
        <sz val="12"/>
        <color rgb="FF000000"/>
        <rFont val="Predator"/>
      </rPr>
      <t>USB 3.2 Gen 2*2 (one with offline charging)
USB 3.2 Gen 1*1
HDMI 2.1*1
microSD™ Card reader*1
3.5mm Combo Audio Jack*1
RJ-45*1
DC-In *1</t>
    </r>
  </si>
  <si>
    <r>
      <rPr>
        <b/>
        <u/>
        <sz val="12"/>
        <color rgb="FF000000"/>
        <rFont val="Predator"/>
      </rPr>
      <t xml:space="preserve">TypeC
</t>
    </r>
    <r>
      <rPr>
        <sz val="12"/>
        <color rgb="FF000000"/>
        <rFont val="Predator"/>
      </rPr>
      <t xml:space="preserve">Thunderbolt™ 4*1
USB 3.2 Gen 2*1 (Full Function)
</t>
    </r>
    <r>
      <rPr>
        <b/>
        <u/>
        <sz val="12"/>
        <color rgb="FF000000"/>
        <rFont val="Predator"/>
      </rPr>
      <t xml:space="preserve">
Type A
</t>
    </r>
    <r>
      <rPr>
        <sz val="12"/>
        <color rgb="FF000000"/>
        <rFont val="Predator"/>
      </rPr>
      <t>USB 3.2 Gen 2*2 (one with offline charging)
USB 3.2 Gen 1*1
HDMI 2.1*1
microSD™ Card reader*1
3.5mm Combo Audio Jack*1
RJ-45*1
DC-In*1
K-lock*1</t>
    </r>
  </si>
  <si>
    <r>
      <t>TypeC</t>
    </r>
    <r>
      <rPr>
        <sz val="12"/>
        <rFont val="Predator"/>
      </rPr>
      <t xml:space="preserve">
Thunderbolt™ 4*2</t>
    </r>
    <r>
      <rPr>
        <b/>
        <u/>
        <sz val="12"/>
        <rFont val="Predator"/>
      </rPr>
      <t xml:space="preserve">
Type A</t>
    </r>
    <r>
      <rPr>
        <sz val="12"/>
        <rFont val="Predator"/>
      </rPr>
      <t xml:space="preserve">
USB 3.2 Gen 2*2 (one with offline charging)
USB 3.2 Gen 1*1
HDMI 2.1*1
microSD™ Card reader*1
3.5mm Combo Audio Jack*1
RJ-45*1
DC-In*1
K-lock*1</t>
    </r>
  </si>
  <si>
    <r>
      <rPr>
        <b/>
        <u/>
        <sz val="12"/>
        <color rgb="FF000000"/>
        <rFont val="Predator"/>
      </rPr>
      <t xml:space="preserve">TypeC
</t>
    </r>
    <r>
      <rPr>
        <sz val="12"/>
        <color rgb="FF000000"/>
        <rFont val="Predator"/>
      </rPr>
      <t xml:space="preserve">Thunderbolt™ 4*1
USB 3.2 Gen 2 Full Function*1
</t>
    </r>
    <r>
      <rPr>
        <b/>
        <u/>
        <sz val="12"/>
        <color rgb="FF000000"/>
        <rFont val="Predator"/>
      </rPr>
      <t xml:space="preserve">
Type A
</t>
    </r>
    <r>
      <rPr>
        <sz val="12"/>
        <color rgb="FF000000"/>
        <rFont val="Predator"/>
      </rPr>
      <t>USB 3.2 Gen 2*2 (one with offline charging)
USB 3.2 Gen 1*1
HDMI 2.1*1
microSD™ Card reader*1
3.5mm Combo Audio Jack*1
RJ-45*1
DC-In*1
K-lock*1</t>
    </r>
  </si>
  <si>
    <r>
      <rPr>
        <b/>
        <u/>
        <sz val="12"/>
        <color rgb="FF000000"/>
        <rFont val="Predator"/>
      </rPr>
      <t xml:space="preserve">Type C
</t>
    </r>
    <r>
      <rPr>
        <sz val="12"/>
        <color rgb="FF000000"/>
        <rFont val="Predator"/>
      </rPr>
      <t xml:space="preserve">USB4*1 (Full Function)
</t>
    </r>
    <r>
      <rPr>
        <b/>
        <u/>
        <sz val="12"/>
        <color rgb="FF000000"/>
        <rFont val="Predator"/>
      </rPr>
      <t xml:space="preserve">
Type A
</t>
    </r>
    <r>
      <rPr>
        <sz val="12"/>
        <color rgb="FF000000"/>
        <rFont val="Predator"/>
      </rPr>
      <t>USB3.2 Gen2*2 (one with offline charging)
USB2.0*1
HDMI 2.1*1
Micro SD card*1
Audio Jack*1
RJ45*1
K-lock*1
DC-In x 1</t>
    </r>
  </si>
  <si>
    <r>
      <rPr>
        <b/>
        <u/>
        <sz val="12"/>
        <color rgb="FF000000"/>
        <rFont val="Predator"/>
      </rPr>
      <t xml:space="preserve">
Type C
</t>
    </r>
    <r>
      <rPr>
        <sz val="12"/>
        <color rgb="FF000000"/>
        <rFont val="Predator"/>
      </rPr>
      <t xml:space="preserve">Thunderbolt™ 4*2 (with PD)
</t>
    </r>
    <r>
      <rPr>
        <b/>
        <u/>
        <sz val="12"/>
        <color rgb="FF000000"/>
        <rFont val="Predator"/>
      </rPr>
      <t xml:space="preserve">
Type A
</t>
    </r>
    <r>
      <rPr>
        <sz val="12"/>
        <color rgb="FF000000"/>
        <rFont val="Predator"/>
      </rPr>
      <t>USB3.2 Gen 2*1 (offline charging)
USB3.2 Gen1*1
HDMI 2.1*1
MicroSD 3.0*1
Combo Jack*1
RJ45*1</t>
    </r>
  </si>
  <si>
    <r>
      <rPr>
        <b/>
        <u/>
        <sz val="12"/>
        <color rgb="FF000000"/>
        <rFont val="Predator"/>
      </rPr>
      <t xml:space="preserve">
Type C
</t>
    </r>
    <r>
      <rPr>
        <sz val="12"/>
        <color rgb="FF000000"/>
        <rFont val="Predator"/>
      </rPr>
      <t xml:space="preserve">USB 3.2 Gen 2*2 (Full Function)
</t>
    </r>
    <r>
      <rPr>
        <b/>
        <u/>
        <sz val="12"/>
        <color rgb="FF000000"/>
        <rFont val="Predator"/>
      </rPr>
      <t xml:space="preserve">
Type A
</t>
    </r>
    <r>
      <rPr>
        <sz val="12"/>
        <color rgb="FF000000"/>
        <rFont val="Predator"/>
      </rPr>
      <t>USB3.2 Gen 2*1 (offline charging)
USB3.2 Gen1*1
HDMI 2.1*1
MicroSD 3.0 card*1
Combo Jack*1
RJ45*1</t>
    </r>
  </si>
  <si>
    <t>TypeC
Thunderbolt™ 4*1 (with PD)
Type A
USB 3.2 Gen 2*1 (offline charging)
USB 3.2 Gen 1*2
HDMI 2.1*1
3.5mm Combo Audio Jack*1
RJ-45*1
DC-In*1
K-lock*1</t>
  </si>
  <si>
    <r>
      <rPr>
        <b/>
        <u/>
        <sz val="12"/>
        <color rgb="FF000000"/>
        <rFont val="Predator"/>
      </rPr>
      <t xml:space="preserve">TypeC
</t>
    </r>
    <r>
      <rPr>
        <sz val="12"/>
        <color rgb="FF000000"/>
        <rFont val="Predator"/>
      </rPr>
      <t xml:space="preserve">Thunderbolt™ 4*1 (with DP3.0)
</t>
    </r>
    <r>
      <rPr>
        <b/>
        <u/>
        <sz val="12"/>
        <color rgb="FF000000"/>
        <rFont val="Predator"/>
      </rPr>
      <t xml:space="preserve">
Type A
</t>
    </r>
    <r>
      <rPr>
        <sz val="12"/>
        <color rgb="FF000000"/>
        <rFont val="Predator"/>
      </rPr>
      <t>USB 3.2 Gen 2*1 (offline charging)
USB 3.2 Gen 1*2
HDMI 2.1*1
3.5mm Combo Audio Jack*1
RJ-45*1
DC-In*1
K-lock*1</t>
    </r>
  </si>
  <si>
    <r>
      <rPr>
        <b/>
        <u/>
        <sz val="12"/>
        <color rgb="FF000000"/>
        <rFont val="Predator"/>
      </rPr>
      <t xml:space="preserve">TypeC
</t>
    </r>
    <r>
      <rPr>
        <sz val="12"/>
        <color rgb="FF000000"/>
        <rFont val="Predator"/>
      </rPr>
      <t xml:space="preserve">USB4*1 (Full function)
</t>
    </r>
    <r>
      <rPr>
        <b/>
        <u/>
        <sz val="12"/>
        <color rgb="FF000000"/>
        <rFont val="Predator"/>
      </rPr>
      <t xml:space="preserve">
Type A
</t>
    </r>
    <r>
      <rPr>
        <sz val="12"/>
        <color rgb="FF000000"/>
        <rFont val="Predator"/>
      </rPr>
      <t>USB 3.2 Gen 2*1 (offline charging)
USB 3.2 Gen 1*2
HDMI 2.1*1
3.5mm Combo Audio Jack*1
RJ-45*1
DC-In*1
K-lock*1</t>
    </r>
  </si>
  <si>
    <r>
      <rPr>
        <b/>
        <u/>
        <sz val="12"/>
        <color rgb="FF000000"/>
        <rFont val="Predator"/>
      </rPr>
      <t xml:space="preserve">TypeC
</t>
    </r>
    <r>
      <rPr>
        <sz val="12"/>
        <color rgb="FF000000"/>
        <rFont val="Predator"/>
      </rPr>
      <t xml:space="preserve">Thunderbolt™ 4*1 (USB+PD+DP1.4)
</t>
    </r>
    <r>
      <rPr>
        <b/>
        <u/>
        <sz val="12"/>
        <color rgb="FF000000"/>
        <rFont val="Predator"/>
      </rPr>
      <t xml:space="preserve">
Type A
</t>
    </r>
    <r>
      <rPr>
        <sz val="12"/>
        <color rgb="FF000000"/>
        <rFont val="Predator"/>
      </rPr>
      <t>USB 3.2 Gen 2*1 (offline charging)
USB 3.2 Gen 1*2
HDMI 2.1*1
3.5mm Combo Audio Jack*1
RJ-45*1
DC-In*1
K-lock*1</t>
    </r>
  </si>
  <si>
    <r>
      <t>TypeC</t>
    </r>
    <r>
      <rPr>
        <sz val="12"/>
        <color rgb="FF000000"/>
        <rFont val="Predator"/>
      </rPr>
      <t xml:space="preserve">
Thunderbolt 4*1</t>
    </r>
    <r>
      <rPr>
        <u/>
        <sz val="12"/>
        <color rgb="FF000000"/>
        <rFont val="Predator"/>
      </rPr>
      <t xml:space="preserve">
 </t>
    </r>
    <r>
      <rPr>
        <b/>
        <u/>
        <sz val="12"/>
        <color rgb="FF000000"/>
        <rFont val="Predator"/>
      </rPr>
      <t>Type A</t>
    </r>
    <r>
      <rPr>
        <sz val="12"/>
        <color rgb="FF000000"/>
        <rFont val="Predator"/>
      </rPr>
      <t xml:space="preserve">
USB3.2 Gen1 Gen 1*3 (one with offline charging)
HDMI x 1
RJ45 x 1
Audio jack (combo) x 1
Realtek ALC245
DC-In x 1
K-lock x 1</t>
    </r>
  </si>
  <si>
    <r>
      <rPr>
        <b/>
        <u/>
        <sz val="12"/>
        <color rgb="FF000000"/>
        <rFont val="Predator"/>
      </rPr>
      <t xml:space="preserve">TypeC
</t>
    </r>
    <r>
      <rPr>
        <sz val="12"/>
        <color rgb="FF000000"/>
        <rFont val="Predator"/>
      </rPr>
      <t xml:space="preserve">USB4*1 40Gbps
</t>
    </r>
    <r>
      <rPr>
        <b/>
        <u/>
        <sz val="12"/>
        <color rgb="FF000000"/>
        <rFont val="Predator"/>
      </rPr>
      <t xml:space="preserve">Type A
</t>
    </r>
    <r>
      <rPr>
        <sz val="12"/>
        <color rgb="FF000000"/>
        <rFont val="Predator"/>
      </rPr>
      <t>USB3.2 Gen1*3 (one with offline charger)
HDMI x 1
RJ45 x 1
Audio jack (combo) x 1
Realtek ALC245
DC-In x 1
K-lock x 1</t>
    </r>
  </si>
  <si>
    <r>
      <rPr>
        <b/>
        <u/>
        <sz val="12"/>
        <color rgb="FF000000"/>
        <rFont val="Predator"/>
      </rPr>
      <t xml:space="preserve">TypeC
</t>
    </r>
    <r>
      <rPr>
        <sz val="12"/>
        <color rgb="FF000000"/>
        <rFont val="Predator"/>
      </rPr>
      <t xml:space="preserve">USB 3.2 Gen2 Type C*2
</t>
    </r>
    <r>
      <rPr>
        <b/>
        <u/>
        <sz val="12"/>
        <color rgb="FF000000"/>
        <rFont val="Predator"/>
      </rPr>
      <t xml:space="preserve">
Type A
</t>
    </r>
    <r>
      <rPr>
        <sz val="12"/>
        <color rgb="FF000000"/>
        <rFont val="Predator"/>
      </rPr>
      <t>USB 3.2 Gen 2*1 (offline charging)
USB 3.2 Gen 1*1
HDMI 2.1*1
3.5mm Combo Audio Jack*1
RJ-45*1
DC-In*1
K-lock*1</t>
    </r>
  </si>
  <si>
    <t>Touchpad</t>
  </si>
  <si>
    <t>Keyboard</t>
  </si>
  <si>
    <t>Per-Key RGB</t>
  </si>
  <si>
    <t>4-Zone RGB</t>
  </si>
  <si>
    <t>DTS® X:Ultra
Speaker*6 with Predator Vox</t>
  </si>
  <si>
    <t>DTS® X:Ultra
Speaker*2</t>
  </si>
  <si>
    <t xml:space="preserve"> Sound Blaster™ Studio+
High Definition Audio
Speakers*2</t>
  </si>
  <si>
    <t>Mic</t>
  </si>
  <si>
    <t>Camera Resolution</t>
  </si>
  <si>
    <t>FHD 1920 x 1080 IR</t>
  </si>
  <si>
    <t>FHD 1920 x 1080</t>
  </si>
  <si>
    <t>FHD 1920 x 1080 IR
FHD 1920 x 1080 w/o IR (TBD)</t>
  </si>
  <si>
    <t>FHD 1920 x 1080 IR
Camera Shutter</t>
  </si>
  <si>
    <t>FHD 1920 x 1080 IR (USB Interface)
Camera Shutter</t>
  </si>
  <si>
    <t>FHD 1920 x 1080
Camera Shutter</t>
  </si>
  <si>
    <t>HD</t>
  </si>
  <si>
    <t>OS</t>
  </si>
  <si>
    <t>Windows 11 Home/Pro</t>
  </si>
  <si>
    <t>WoA (Windows of ARM)</t>
  </si>
  <si>
    <t xml:space="preserve">PredatorSense/NitroSense </t>
  </si>
  <si>
    <t>PredatorSense</t>
  </si>
  <si>
    <t>NitroSense</t>
  </si>
  <si>
    <t>2-Month</t>
  </si>
  <si>
    <t>Windows Dynamic Lighting</t>
  </si>
  <si>
    <t>Material [PCR %]</t>
  </si>
  <si>
    <t>A: Metal
B: Plastic
C: Plastic
D: Plastic
PCR: 30%</t>
  </si>
  <si>
    <t>A: Metal
B: Plastic
C: Plastic
D: Metal
PCR: 30%</t>
  </si>
  <si>
    <t>A: Aluminum
B: Plastic
C: Plastic
D: Metal
PCR: 30%</t>
  </si>
  <si>
    <t>A: Metal
B: Plastic
C: Plastic
D: Plastic (PCR: 30%)</t>
  </si>
  <si>
    <t>A: Metal
B: Plastic
C: Plastic
D: Plastic(PCR: 30%)</t>
  </si>
  <si>
    <t>A: Metal
B: Plastic
C: Plastic
D: Plastic (PCR 35%)</t>
  </si>
  <si>
    <t>A: Metal
B: Plastic
C: Plastic
D: Metal</t>
  </si>
  <si>
    <t>A cover: Metal
B cover: Plastic
C cover: Plastic
D cover: Metal</t>
  </si>
  <si>
    <t>A: Plastic (IMR)
B: Plastic
C: Plastic
D: Plastic</t>
  </si>
  <si>
    <t>A: Plastic
B: Plastic
C: Plastic
D: Plastic (30% PCR)</t>
  </si>
  <si>
    <t>A: Plastic (IMR)
B: P+R
C: Plastic
D: Plastic</t>
  </si>
  <si>
    <t>A: Metal
B: Plastic
C: Plastic
D: Plastic</t>
  </si>
  <si>
    <t>Dimension [W*D*H]</t>
  </si>
  <si>
    <t>400.96 x 307.9 x 17.3~29.55 mm mm</t>
  </si>
  <si>
    <t>B2: 356.78 x 275.5 x 12.0~18.9 mm</t>
  </si>
  <si>
    <r>
      <t>B1[RTX 5080, 5070Ti]: 356.78 x 275.5 x 12.0~19.9 mm</t>
    </r>
    <r>
      <rPr>
        <sz val="12"/>
        <rFont val="Times New Roman"/>
        <family val="1"/>
      </rPr>
      <t>​</t>
    </r>
    <r>
      <rPr>
        <sz val="12"/>
        <rFont val="Predator"/>
      </rPr>
      <t xml:space="preserve">
B2 [RTX 5070]: 356.78 x 275.5 x 12.0~18.9 mm</t>
    </r>
    <phoneticPr fontId="10" type="noConversion"/>
  </si>
  <si>
    <t>B1: 356.78 x 275.5 x 13.47 / 26.75mm
B2: 356.78 x 275.5 x 13.47 /23.90mm</t>
  </si>
  <si>
    <t>B1: 356.78 x 275.5 x 22.3 / 26.75mm
B2 only but share B1 D-cover</t>
  </si>
  <si>
    <r>
      <t>B1: 400.96 x 307.9 x 14.9~28.05mm
B2: 400.96 x 307.9 x 14.9~25.2mm</t>
    </r>
    <r>
      <rPr>
        <sz val="12"/>
        <rFont val="Times New Roman"/>
        <family val="1"/>
      </rPr>
      <t>​</t>
    </r>
  </si>
  <si>
    <t>356.78 x 275.5 x 22.05~23.65 mm</t>
  </si>
  <si>
    <t>356.78 x 275.5 x 22.05~27.95 mm (B2)</t>
  </si>
  <si>
    <t>354.7 x 258.72 x 10.02~15.9 mm</t>
  </si>
  <si>
    <t>354.7 x 250.47 x 10.02~16.5 mm</t>
  </si>
  <si>
    <t xml:space="preserve"> 356.5 x 260 x 10.3~17.9mm</t>
  </si>
  <si>
    <t xml:space="preserve"> 356.5 x 260 x 11.37~19.9mm</t>
  </si>
  <si>
    <t xml:space="preserve">400.36 x 260.53 x 23.5 mm </t>
  </si>
  <si>
    <t>362.3 x 239.89 x 15.7~23.5 mm</t>
  </si>
  <si>
    <t>3.5 kg</t>
  </si>
  <si>
    <t>2.2 kg</t>
  </si>
  <si>
    <t>2.3 kg</t>
  </si>
  <si>
    <t>2.7 kg</t>
  </si>
  <si>
    <t>2.5 kg</t>
  </si>
  <si>
    <t>3.4 kg</t>
  </si>
  <si>
    <t>&lt;1.8 kg</t>
  </si>
  <si>
    <t>&lt;2.3 kg</t>
  </si>
  <si>
    <t>&lt;2.15 kg</t>
  </si>
  <si>
    <t>&lt;2.1 kg</t>
  </si>
  <si>
    <t>2.1 kg</t>
  </si>
  <si>
    <t>C close</t>
  </si>
  <si>
    <t>2/E/2026</t>
  </si>
  <si>
    <t>2/B/2026</t>
  </si>
  <si>
    <t>3/M/2026</t>
  </si>
  <si>
    <t>Q2/2026</t>
  </si>
  <si>
    <t>1/E/2026</t>
  </si>
  <si>
    <t>FCS</t>
  </si>
  <si>
    <t>Project Canceled</t>
  </si>
  <si>
    <t>Transferred to Aspire</t>
  </si>
  <si>
    <t>11/11/2026 (TBC)</t>
  </si>
  <si>
    <t>5/E/2026</t>
  </si>
  <si>
    <t>SPEC version</t>
  </si>
  <si>
    <t>PM</t>
  </si>
  <si>
    <t>Jessica YC Liu</t>
  </si>
  <si>
    <r>
      <rPr>
        <sz val="12"/>
        <color rgb="FF404040"/>
        <rFont val="Predator Black"/>
      </rPr>
      <t>　</t>
    </r>
  </si>
  <si>
    <t>KSP Bullets</t>
  </si>
  <si>
    <t>Up to Intel® Core™ Ultra 9 processor 290HX Plus</t>
  </si>
  <si>
    <t>Up to Intel® Core™ Ultra 9 Processor 386H</t>
  </si>
  <si>
    <t>Up to Intel® Core™ Ultra 9 processor 290HX Plus</t>
    <phoneticPr fontId="10" type="noConversion"/>
  </si>
  <si>
    <t>Up to Intel® Core™ i9 processor 14900HX</t>
  </si>
  <si>
    <r>
      <rPr>
        <sz val="11"/>
        <rFont val="Predator Black"/>
      </rPr>
      <t>　</t>
    </r>
  </si>
  <si>
    <t>Up to AMD Ryzen™ 9 9955HX3D processor</t>
  </si>
  <si>
    <t>Up to Intel® Core™ Ultra 7 Processor 355</t>
    <phoneticPr fontId="10" type="noConversion"/>
  </si>
  <si>
    <t>Up to AMD Ryzen™ AI 9 465 Processor</t>
  </si>
  <si>
    <t>Intel® Core™ 9 processor 270H</t>
  </si>
  <si>
    <t>Up to AMD Ryzen™ 9 270 Processor</t>
  </si>
  <si>
    <t>Up to Intel® Core™ 9 processor 270H</t>
  </si>
  <si>
    <t>Up to AMD Ryzen™ 7 170 Processor　</t>
  </si>
  <si>
    <t>Intel Core i9-14900HX processor</t>
  </si>
  <si>
    <r>
      <rPr>
        <sz val="12"/>
        <rFont val="Predator Black"/>
      </rPr>
      <t>　</t>
    </r>
  </si>
  <si>
    <t>Up to NVIDIA® GeForce RTX™ 5090 Laptop GPU (1824 TOPS)</t>
  </si>
  <si>
    <t>Up to NVIDIA® GeForce RTX™ 5070 Laptop GPU (798 TOPS)</t>
    <phoneticPr fontId="10" type="noConversion"/>
  </si>
  <si>
    <t>Up to NVIDIA® GeForce RTX™ 5080 Laptop GPU (1334 TOPS)</t>
    <phoneticPr fontId="10" type="noConversion"/>
  </si>
  <si>
    <t>Up to NVIDIA® GeForce RTX™ 5080 Laptop GPU (1334 TOPS)</t>
  </si>
  <si>
    <t>Up to NVIDIA® GeForce RTX™ 5070 Laptop GPU (798 TOPS)</t>
  </si>
  <si>
    <t>Up to NVIDIA® GeForce RTX™ 5070 Ti Laptop GPU (992 TOPS)</t>
  </si>
  <si>
    <t>Up to NVIDIA® GeForce RTX™ 5060 Laptop GPU (572 TOPS)</t>
  </si>
  <si>
    <t>Up to 18” Mini LED 4K HDR 1000 nits Display</t>
  </si>
  <si>
    <t>Thin Design &lt;18.9mm, Metal Chassis</t>
  </si>
  <si>
    <t>Thin Metal Chassis Design &lt;18.9mm</t>
    <phoneticPr fontId="10" type="noConversion"/>
  </si>
  <si>
    <t>Up to 16" OLED WQXGA 2560 x 1600 1ms Display</t>
  </si>
  <si>
    <t>Up to 16" WQXGA 2560 x 1600 180Hz Display</t>
  </si>
  <si>
    <t>Up to 16" WQXGA 2560 x 1600 240Hz Display</t>
  </si>
  <si>
    <r>
      <rPr>
        <sz val="11"/>
        <color rgb="FF404040"/>
        <rFont val="Predator Black"/>
      </rPr>
      <t>　</t>
    </r>
  </si>
  <si>
    <t>Up to 16” WQXGA 2560 x 1600 240Hz Display</t>
  </si>
  <si>
    <t>Thin Design &lt; 17.9 mm Metal Chassis</t>
  </si>
  <si>
    <t>Up to 16” 16:10 WUXGA 1920 x 1200 180Hz sRGB 100% Display</t>
    <phoneticPr fontId="10" type="noConversion"/>
  </si>
  <si>
    <t>Up to 17.3” 16:9 FHD 1920 x 1080 144Hz Display</t>
  </si>
  <si>
    <t>Up to 15.6” 16:9 FHD 1920 x 1080 180Hz sRGB 1000% Display</t>
  </si>
  <si>
    <t>Up to 16" 16:10 WUXGA 1920 x 1200 165Hz sRGB 100% Display</t>
  </si>
  <si>
    <t>6th Gen AeroBlade 3D Fans, World's Thinnest Metal Blades</t>
  </si>
  <si>
    <t>Up to 16” 16:10 OLED WQXGA 2560 x 1600 1ms Display</t>
    <phoneticPr fontId="10" type="noConversion"/>
  </si>
  <si>
    <t>Up to 16” OLED WQXGA 2560 x 1600 240 Hz Display</t>
  </si>
  <si>
    <t>5th Gen AeroBlade 3D Fan</t>
    <phoneticPr fontId="10" type="noConversion"/>
  </si>
  <si>
    <t>5th Gen AeroBlade 3D Fan</t>
  </si>
  <si>
    <t>Dual-Fan Quad-Intake Quad-Exhaust Cooling</t>
  </si>
  <si>
    <t>Up to 16" 16:10 WUXGA 1920 x 1200 180 Hz sRGB 100% Display</t>
  </si>
  <si>
    <t>FHD IR Webcam with Camera Shutter</t>
  </si>
  <si>
    <t>Dual-Fan Dual-Intake Dual-Exhaust Cooling　</t>
  </si>
  <si>
    <t>Dual-fan Duad-Intak Duad-Exhaust Cooling</t>
  </si>
  <si>
    <t>MASTER SPEC SHEET - 2025 GAMING DESKTOP PROJECTS</t>
    <phoneticPr fontId="10" type="noConversion"/>
  </si>
  <si>
    <t>Marketing Name</t>
  </si>
  <si>
    <t>PREDATOR ORION 7000</t>
  </si>
  <si>
    <t>PREDATOR ORION 3000</t>
  </si>
  <si>
    <t>PREDATOR ORION NEO</t>
  </si>
  <si>
    <t>Acer Nitro 30 (AMD)</t>
  </si>
  <si>
    <t>Acer Nitro 30 (Intel)</t>
  </si>
  <si>
    <t xml:space="preserve">Acer Nitro 20 </t>
  </si>
  <si>
    <t xml:space="preserve">Acer Nitro 10 </t>
  </si>
  <si>
    <t>Model Name</t>
  </si>
  <si>
    <t>PO7-667_Z890</t>
  </si>
  <si>
    <t>PO3-667  (H810/H610)</t>
  </si>
  <si>
    <t>PON-100-ARLHX
PON-100-RPLHX</t>
  </si>
  <si>
    <t>N30-101 (B850/A520)</t>
    <phoneticPr fontId="10" type="noConversion"/>
  </si>
  <si>
    <t>N30-101 (H810/H610)</t>
  </si>
  <si>
    <t>N20-101-MTL</t>
  </si>
  <si>
    <t>N10-101-MTL</t>
  </si>
  <si>
    <t>N20-110-ARLHX
N20-110-RPLHX</t>
  </si>
  <si>
    <t>N10-110-ARLHX
N10-110-RPLHX</t>
  </si>
  <si>
    <t>Project Name</t>
  </si>
  <si>
    <t>Agera</t>
  </si>
  <si>
    <t>PO3-665</t>
  </si>
  <si>
    <t>ArteonRW</t>
  </si>
  <si>
    <t>TC102</t>
  </si>
  <si>
    <t>XC102</t>
  </si>
  <si>
    <t xml:space="preserve">vAnzioHX 
vAnconaHX </t>
  </si>
  <si>
    <t>Predator CycloneX 360
Predator CycloneX 360 + CPU Liquid Cooling</t>
  </si>
  <si>
    <t>Intel® Core Ultra 7 processor 270K Plus 
(Arrow Lake-S Refresh)</t>
  </si>
  <si>
    <t>Intel® Core Ultra 7 processor 265F
Intel® Core™ Ultra 5 processor 225F</t>
  </si>
  <si>
    <t>Intel® Core Ultra 9 processor 290HX Plus
Intel® Core™ Ultra 7 processor 270HX Plus
Intel® Core™ i9-14900HX processor
Intel® Core™ i7-14700HX processor</t>
  </si>
  <si>
    <t>AMD Ryzen 7 8700G
AMD Ryzen 5  8500G
AMD Ryzen 7 7700
AMD Ryzen 5 5600G</t>
    <phoneticPr fontId="10" type="noConversion"/>
  </si>
  <si>
    <t>Intel Core Ultra 5 processor 125H (Meteor Lake)</t>
  </si>
  <si>
    <t>Up to Intel Core Ultra 7 270HX Plus (Arrow Lake-HX R)
Up to Intel Core i7-14700HX (Raptor Lake-HX R)</t>
  </si>
  <si>
    <t>MB Chipset</t>
    <phoneticPr fontId="10" type="noConversion"/>
  </si>
  <si>
    <t xml:space="preserve">Intel® Z890 Chipset </t>
  </si>
  <si>
    <t>Processor Power (range)</t>
    <phoneticPr fontId="10" type="noConversion"/>
  </si>
  <si>
    <t>U9K: 125W
U7KF: 125W</t>
  </si>
  <si>
    <t>U7F: 65W
U5F: 65W</t>
  </si>
  <si>
    <t>65W</t>
  </si>
  <si>
    <t>45W</t>
  </si>
  <si>
    <t>CPU: 13.6 TOPs
NPU: 13.1 TOPs</t>
  </si>
  <si>
    <t>Intel Application Optimization [APO]</t>
    <phoneticPr fontId="10" type="noConversion"/>
  </si>
  <si>
    <t>Graphics Card</t>
    <phoneticPr fontId="10" type="noConversion"/>
  </si>
  <si>
    <t>NVIDIA® GeForce RTX™ 5090 32 GB
NVIDIA® GeForce RTX™ 5080 16 GB
NVIDIA® GeForce RTX™ 5070 12 GB</t>
  </si>
  <si>
    <t>NVIDIA® GeForce RTX™ 5070 12 GB</t>
  </si>
  <si>
    <t xml:space="preserve">NVIDIA® GeForce RTX™ 5080 </t>
  </si>
  <si>
    <r>
      <rPr>
        <sz val="11"/>
        <color rgb="FF70AD47"/>
        <rFont val="Predator"/>
      </rPr>
      <t xml:space="preserve">AMD Radeon™ RX 9070 XT 16GB </t>
    </r>
    <r>
      <rPr>
        <sz val="11"/>
        <color rgb="FF000000"/>
        <rFont val="Predator"/>
      </rPr>
      <t>(KSP claim)
AMD Radeon™ RX 9060 XT
NVIDIA® GeForce RTX™ 5070 12 GB</t>
    </r>
  </si>
  <si>
    <r>
      <rPr>
        <sz val="11"/>
        <color rgb="FF70AD47"/>
        <rFont val="Predator"/>
      </rPr>
      <t>NVIDIA® GeForce RTX™ 5070 12 GB</t>
    </r>
    <r>
      <rPr>
        <sz val="11"/>
        <color rgb="FF000000"/>
        <rFont val="Predator"/>
      </rPr>
      <t xml:space="preserve"> (KSP claim)
Up to AMD Radeon™ RX 9070 XT 16GB
AMD Radeon™ RX 9060 XT</t>
    </r>
  </si>
  <si>
    <t xml:space="preserve">
Up to NVIDIA® GeForce RTX™ 5060 8 GB</t>
  </si>
  <si>
    <t>Intel Arc A380</t>
  </si>
  <si>
    <t>Graphics Card Power
Max Graphic Power [MGP]</t>
    <phoneticPr fontId="10" type="noConversion"/>
  </si>
  <si>
    <t>RTX 5090: 575W
RTX 5080: 360W
RTX 5070: 250W</t>
  </si>
  <si>
    <t>RTX 5060: 145W</t>
  </si>
  <si>
    <t>RTX 5090: 3352 TOPS
RTX 5080: 1801 TOPS
RTX 5070: 988 TOPS</t>
  </si>
  <si>
    <t>CPU Cooling</t>
    <phoneticPr fontId="10" type="noConversion"/>
  </si>
  <si>
    <t>CycloneX 360 [ARGB] + Liquid Cooling [ARGB]</t>
  </si>
  <si>
    <t>65W air cooler 
ARGB Lighting</t>
  </si>
  <si>
    <t>AIR Cooling (80mm Fan)</t>
  </si>
  <si>
    <t>Graphic Card Cooling</t>
    <phoneticPr fontId="10" type="noConversion"/>
  </si>
  <si>
    <t>GPU Fan [default]</t>
  </si>
  <si>
    <t>System Cooling</t>
    <phoneticPr fontId="10" type="noConversion"/>
  </si>
  <si>
    <t>Front: CycloneX 360 x 1 [ARGB]
Rear: System fan</t>
  </si>
  <si>
    <t>Two 120mm system fans (front &amp; rear)
ARGB Lighting</t>
  </si>
  <si>
    <t>Four 120mm system fans (3 front &amp; 1 rear)
ARGB Lighting</t>
  </si>
  <si>
    <t>N/A</t>
  </si>
  <si>
    <t>Memory</t>
    <phoneticPr fontId="10" type="noConversion"/>
  </si>
  <si>
    <t>Up to 128 GB DDR5 XMP RGB</t>
  </si>
  <si>
    <t>16/8 GB DDR5 5600 MT/s UDIMM
Up to 64 GB of Dual-channel DDR5 5600 MT/s</t>
  </si>
  <si>
    <t xml:space="preserve">Up to 32 GB DDR5 5600 MT/s; supports up to 7200 MT/s via XMP
</t>
  </si>
  <si>
    <t xml:space="preserve">Up to 32GB of Dual-channel DDR5
5600 MT/s </t>
  </si>
  <si>
    <t>Up to 32GB of Dual-channel DDR5
5600 MT/s (SODIMM*2)</t>
  </si>
  <si>
    <t>Memory slot</t>
    <phoneticPr fontId="10" type="noConversion"/>
  </si>
  <si>
    <t>SODIMM*2</t>
  </si>
  <si>
    <t>SSD</t>
  </si>
  <si>
    <t>Up to 6TB SSD storage
PCIe Gen 5 NVMe M.2 SSD x 1
PCIe Gen 4 NVMe M.2 SSD x 2</t>
    <phoneticPr fontId="10" type="noConversion"/>
  </si>
  <si>
    <t>Up to 2TB NVMe M.2 2280 PCIe SSD
PCIe Gen 4 x 2</t>
  </si>
  <si>
    <t>Up to 2 TB PCI-e Gen 5 SSD (ARL)
Up to 2 TB PCI-e Gen 4 SSD (RPL)</t>
  </si>
  <si>
    <t>Up to 1TB M.2 PCI-e Gen4 SSD</t>
  </si>
  <si>
    <t>HDD</t>
  </si>
  <si>
    <t>Up to 4 TB HDD storage
3.5” HDD x 2</t>
  </si>
  <si>
    <t>Up to 2 TB 7200 RPM HDD
3.5-inch x 1</t>
  </si>
  <si>
    <t>Up to 2 TB 7200 RPM HDD</t>
  </si>
  <si>
    <t>Up to 1TB 3.5" HDD</t>
  </si>
  <si>
    <t>LAN</t>
    <phoneticPr fontId="10" type="noConversion"/>
  </si>
  <si>
    <t>Realtek 8111H Ethernet</t>
  </si>
  <si>
    <t xml:space="preserve">2.5G Giga LAN </t>
  </si>
  <si>
    <t>Realtek RTL8111H Gigabit Ethernet</t>
  </si>
  <si>
    <t>Wireless LAN</t>
    <phoneticPr fontId="10" type="noConversion"/>
  </si>
  <si>
    <t>Wi-Fi 7/6E</t>
  </si>
  <si>
    <t>WiFi 7 (ARL)
WiFi 6E (RPL)</t>
  </si>
  <si>
    <t>Up to WiFi 6E</t>
  </si>
  <si>
    <t>Up to WiFi 7/WiFi 6E</t>
  </si>
  <si>
    <t>1000W</t>
  </si>
  <si>
    <t>850 W PFC, auto-sensing, 80PLUS® Gold, TFX</t>
  </si>
  <si>
    <t>Up to 850/600 W</t>
  </si>
  <si>
    <t>180 W</t>
  </si>
  <si>
    <t>I/O Ports</t>
    <phoneticPr fontId="10" type="noConversion"/>
  </si>
  <si>
    <r>
      <t>Front/Front I/O connectors</t>
    </r>
    <r>
      <rPr>
        <sz val="12"/>
        <color rgb="FF000000"/>
        <rFont val="Predator"/>
      </rPr>
      <t xml:space="preserve">
• USB 3.2 Gen1 5Gbps Type A port(s): 2
• USB 3.2 Gen1 5Gbps Type C port(s): 1
Audio jack(s): 1 (headphone + mic, mic)</t>
    </r>
    <r>
      <rPr>
        <u/>
        <sz val="12"/>
        <color rgb="FF000000"/>
        <rFont val="Predator"/>
      </rPr>
      <t xml:space="preserve">
Rear I/O connectors</t>
    </r>
    <r>
      <rPr>
        <sz val="12"/>
        <color rgb="FF000000"/>
        <rFont val="Predator"/>
      </rPr>
      <t xml:space="preserve">
• LAN port(s): 1
• Audio jack(s): 3 [line in, audio out, mic]
• USB 2.0 Type A port(s): 2
• USB 3.2 Gen2 10Gbps Type A port(s): 3
• Thunderbolt 4: 1</t>
    </r>
  </si>
  <si>
    <r>
      <t>Front/Side I/O connectors</t>
    </r>
    <r>
      <rPr>
        <sz val="11"/>
        <color rgb="FF000000"/>
        <rFont val="Predator"/>
      </rPr>
      <t xml:space="preserve">
• Audio jack(s):</t>
    </r>
    <r>
      <rPr>
        <sz val="11"/>
        <color rgb="FFFF0000"/>
        <rFont val="Predator"/>
      </rPr>
      <t xml:space="preserve"> </t>
    </r>
    <r>
      <rPr>
        <sz val="11"/>
        <color rgb="FF000000"/>
        <rFont val="Predator"/>
      </rPr>
      <t>1</t>
    </r>
    <r>
      <rPr>
        <sz val="11"/>
        <color rgb="FFFF0000"/>
        <rFont val="Predator"/>
      </rPr>
      <t xml:space="preserve"> </t>
    </r>
    <r>
      <rPr>
        <sz val="11"/>
        <color rgb="FF000000"/>
        <rFont val="Predator"/>
      </rPr>
      <t>(headphone + mic, mic)
• USB 3.2 Gen2 10Gbps Type A port(s): 2
• USB 3.2 Gen2x2 20Gbps Type C port(s): 1</t>
    </r>
    <r>
      <rPr>
        <u/>
        <sz val="11"/>
        <color rgb="FF000000"/>
        <rFont val="Predator"/>
      </rPr>
      <t xml:space="preserve">
Rear I/O connectors</t>
    </r>
    <r>
      <rPr>
        <sz val="11"/>
        <color rgb="FF000000"/>
        <rFont val="Predator"/>
      </rPr>
      <t xml:space="preserve">
• LAN port(s): 1
• Audio jack(s): 3 [line in, audio out, mic]
• USB 2.0 Type A port(s): 4
• USB 3.2 Gen1 5Gbps Type A port(s): 2</t>
    </r>
  </si>
  <si>
    <t>Front/Side I/O connectors
• Card reader: N
• Audio jack(s): 1
• USB 2.0 Type A port(s): 2
• USB 3.2 Gen1 5Gbps Type A port(s): 2
• USB 3.2 Gen1 5Gbps Type C port(s): 1
Rear I/O connectors
• D-Sub port(s): 1
• HDMI port(s): 1
• DP port(s): 1
• LAN port(s): 2
• Audio jack(s): 2
• USB 2.0 Type A port(s): 2
• USB 3.2 Gen2 10Gbps Type A port(s): 2</t>
  </si>
  <si>
    <t>Hot Swap</t>
    <phoneticPr fontId="10" type="noConversion"/>
  </si>
  <si>
    <t>I/O expansions</t>
    <phoneticPr fontId="10" type="noConversion"/>
  </si>
  <si>
    <t>PCIe Gen 5 x16 slot: 1
PCIe M.2 WLAN slot: 1
PCIe Gen 5 x4 M.2 SSD slot: 1
PCIe Gen 4 x4 M.2 SSD slot: 2</t>
  </si>
  <si>
    <t>• PCIe x16 slot(s): 1
• M.2 slot (for SSD): 2
• M.2 slot (for WLAN): 1</t>
  </si>
  <si>
    <t>•PCIe x16 slot(s): 1
• PCIe x1 slot(s): 1
• M.2 slot (for SSD): 1
• M.2 slot (for WLAN): 1</t>
  </si>
  <si>
    <t>SATA</t>
    <phoneticPr fontId="10" type="noConversion"/>
  </si>
  <si>
    <t>2 x 3.5” SATA3 6.0Gb/s HDD connector</t>
  </si>
  <si>
    <t>1 x 3.5” SATA3 HDD
M.2 SSD/2280/2242</t>
  </si>
  <si>
    <t>Audio</t>
    <phoneticPr fontId="10" type="noConversion"/>
  </si>
  <si>
    <t>DTS:X® Ultra</t>
  </si>
  <si>
    <t>Integrated high-definition sound</t>
  </si>
  <si>
    <t>Windows 11 Home 64-bit.
UEFI Shell</t>
  </si>
  <si>
    <t>Sense</t>
  </si>
  <si>
    <t>AcerSense Pro</t>
  </si>
  <si>
    <t>Acer Intellengence Space</t>
    <phoneticPr fontId="10" type="noConversion"/>
  </si>
  <si>
    <t>Material [PCR %]</t>
    <phoneticPr fontId="10" type="noConversion"/>
  </si>
  <si>
    <t xml:space="preserve"> 216.4 (W) x  461.7 (D) x  495.4 (H) mm</t>
  </si>
  <si>
    <t>160 (W) x 306 (D) x 348 (H) mm</t>
  </si>
  <si>
    <t>100 (W) x 295 (D) x 330 (H) mm</t>
  </si>
  <si>
    <t>TBD</t>
  </si>
  <si>
    <t>12 kg</t>
  </si>
  <si>
    <t>Volume (L)</t>
    <phoneticPr fontId="10" type="noConversion"/>
  </si>
  <si>
    <t>45L</t>
  </si>
  <si>
    <t>32L</t>
  </si>
  <si>
    <t>15L</t>
  </si>
  <si>
    <t>9L</t>
  </si>
  <si>
    <t>17.3 L</t>
  </si>
  <si>
    <t>7.6 L</t>
  </si>
  <si>
    <t>3/B/2026</t>
  </si>
  <si>
    <t>6/30/2026
3/31/2026</t>
  </si>
  <si>
    <t>PM</t>
    <phoneticPr fontId="10" type="noConversion"/>
  </si>
  <si>
    <t>James L</t>
  </si>
  <si>
    <t>Hour Tsai</t>
  </si>
  <si>
    <t>Hank PH Chen</t>
  </si>
  <si>
    <t>Intel® Core Ultra 7 processor 270K Plus</t>
  </si>
  <si>
    <t>Intel® Core Ultra 7 processor 265F</t>
  </si>
  <si>
    <t>Intel® Core Ultra 9 processor 290HX Plus</t>
  </si>
  <si>
    <t>Up to AMD Ryzen 7 8700G Processor</t>
  </si>
  <si>
    <t>Up to Intel® Core Ultra 7 processor 265F</t>
  </si>
  <si>
    <t xml:space="preserve">Up to Intel® Core™ Ultra 5 processor 125H </t>
  </si>
  <si>
    <t xml:space="preserve">Up to Intel® Core™ Ultra 7 processor 270HX Plus </t>
  </si>
  <si>
    <t>Up to NVIDIA® GeForce RTX™ 5090 (3352 TOPS)</t>
  </si>
  <si>
    <t>Up to NVIDIA® GeForce RTX™ 5070 (988 TOPS)</t>
  </si>
  <si>
    <t>Up to NVIDIA® GeForce RTX™ 5080 (1801 TOPS)</t>
  </si>
  <si>
    <t xml:space="preserve">Up to AMD Radeon™ RX 9070 XT </t>
  </si>
  <si>
    <t>Up to NVIDIA® GeForce RTX™ 5060 (614 TOPS)</t>
  </si>
  <si>
    <t>Up to Intel® Arc™ A380 Graphics</t>
  </si>
  <si>
    <t>Predator CycloneX 360 Cooling Technology</t>
  </si>
  <si>
    <t>Dual 120mm System Fans with RGB Lighting</t>
  </si>
  <si>
    <t>Four 120mm System Fans with ARGB Lighting</t>
  </si>
  <si>
    <t>Dual 120mm System Fans with ARGB Lighting</t>
  </si>
  <si>
    <t xml:space="preserve">Compact 15L Chassis </t>
  </si>
  <si>
    <t xml:space="preserve">Compact 9L Chassis </t>
  </si>
  <si>
    <t xml:space="preserve">Compact 17.3L Chassis </t>
  </si>
  <si>
    <t xml:space="preserve">Compact 7.6L Chassis </t>
  </si>
  <si>
    <t>Up to Thunderbolt 5 and WiFi 7 High-Speed Connectivity</t>
  </si>
  <si>
    <t>Up to WiFi 7 High-Speed Connectivity</t>
  </si>
  <si>
    <t>Up to 32 GB DDR5 7200 MT/s via XMP</t>
  </si>
  <si>
    <t>Up to Wi-Fi 7 High-Speed Connectivity</t>
  </si>
  <si>
    <t>Wi-Fi 6E Seamless Connectivity</t>
  </si>
  <si>
    <t>2026 GAMING HANDHELD. PROJECTS</t>
    <phoneticPr fontId="10" type="noConversion"/>
  </si>
  <si>
    <t>PREDATOR ATLAS 7</t>
    <phoneticPr fontId="10" type="noConversion"/>
  </si>
  <si>
    <t>PREDATOR ATLAS 8</t>
    <phoneticPr fontId="10" type="noConversion"/>
  </si>
  <si>
    <t>ROG/MSI/Legion Go</t>
    <phoneticPr fontId="10" type="noConversion"/>
  </si>
  <si>
    <t>Reference Specs</t>
    <phoneticPr fontId="10" type="noConversion"/>
  </si>
  <si>
    <t>Unique Feature</t>
    <phoneticPr fontId="10" type="noConversion"/>
  </si>
  <si>
    <t>The metal fan performs 10% better than the plastic fan.
Plastic fan: 0.3mm thickness, 73 blades
Metal fan: 0.1mm thickness, 89 blades</t>
  </si>
  <si>
    <t>Intel® Arc™ G3 Extreme processor
Intel® Arc™ G3 processor</t>
    <phoneticPr fontId="10" type="noConversion"/>
  </si>
  <si>
    <t>Up to Intel® Core™ Ultra 7 processor(Series 2)</t>
    <phoneticPr fontId="10" type="noConversion"/>
  </si>
  <si>
    <t>Processor AI TOPS [up to]</t>
    <phoneticPr fontId="10" type="noConversion"/>
  </si>
  <si>
    <t>&gt; 40TOPS int8</t>
    <phoneticPr fontId="10" type="noConversion"/>
  </si>
  <si>
    <t>Up to 47 NPU TOPS (119 total AI TOPS)</t>
    <phoneticPr fontId="10" type="noConversion"/>
  </si>
  <si>
    <t>Graphics</t>
    <phoneticPr fontId="10" type="noConversion"/>
  </si>
  <si>
    <t>UMA</t>
    <phoneticPr fontId="10" type="noConversion"/>
  </si>
  <si>
    <t>Up to Intel® Arc™ 140V GPU</t>
    <phoneticPr fontId="10" type="noConversion"/>
  </si>
  <si>
    <r>
      <t xml:space="preserve">Display
[Panel, Resolution, Refresh Rate, </t>
    </r>
    <r>
      <rPr>
        <sz val="12"/>
        <color theme="1" tint="0.249977111117893"/>
        <rFont val="微軟正黑體"/>
        <family val="2"/>
        <charset val="136"/>
      </rPr>
      <t>亮度</t>
    </r>
    <r>
      <rPr>
        <sz val="12"/>
        <color theme="1" tint="0.249977111117893"/>
        <rFont val="Predator"/>
        <family val="3"/>
      </rPr>
      <t xml:space="preserve">, </t>
    </r>
    <r>
      <rPr>
        <sz val="12"/>
        <color theme="1" tint="0.249977111117893"/>
        <rFont val="微軟正黑體"/>
        <family val="2"/>
        <charset val="136"/>
      </rPr>
      <t>色域</t>
    </r>
    <r>
      <rPr>
        <sz val="12"/>
        <color theme="1" tint="0.249977111117893"/>
        <rFont val="Predator"/>
        <family val="3"/>
      </rPr>
      <t>, Response time]</t>
    </r>
  </si>
  <si>
    <t>7-inch
FHD (1920 x 1080)
16:9
IPS-level
Glossy display
sRGB: 100%
Adobe: 75.35%
Gorilla Glass Victus
Gorilla Glass DXC
Touch Screen
Refresh Rate: 120Hz
Brightness: 500 nits</t>
    <phoneticPr fontId="10" type="noConversion"/>
  </si>
  <si>
    <r>
      <t xml:space="preserve">8-inch
FHD+ (1920 x 1200)
16:10
IPS-level
sRGB: 100%
</t>
    </r>
    <r>
      <rPr>
        <sz val="12"/>
        <color rgb="FFFF0000"/>
        <rFont val="Predator"/>
      </rPr>
      <t>Adobe: ?%</t>
    </r>
    <r>
      <rPr>
        <sz val="12"/>
        <color rgb="FF404040"/>
        <rFont val="Predator"/>
      </rPr>
      <t xml:space="preserve">
Gorilla® Glass Victus™
Gorilla® Glass DXC
Touch Screen (10-point multi-touch)
Refresh Rate: 120Hz
Brightness: 500 nits
</t>
    </r>
    <phoneticPr fontId="10" type="noConversion"/>
  </si>
  <si>
    <t xml:space="preserve">
7-inch
FHD (1920 x 1080) 16:9
IPS-level
Glossy display
sRGB: 100%
Adobe: 75.35%
Gorilla® Glass Victus™
Gorilla® Glass DXC
Touch Screen (10-point multi-touch)
Refresh Rate: 120Hz
Brightness: 500 nits
</t>
    <phoneticPr fontId="10" type="noConversion"/>
  </si>
  <si>
    <t>FreeSync (Level)</t>
    <phoneticPr fontId="10" type="noConversion"/>
  </si>
  <si>
    <t>AMD FreeSync™ Premium (Variable Refresh Rate)</t>
    <phoneticPr fontId="10" type="noConversion"/>
  </si>
  <si>
    <t>Thermal Solution</t>
    <phoneticPr fontId="10" type="noConversion"/>
  </si>
  <si>
    <t>dual FAN (Aero Blade metal + plastic)
vortex flow</t>
    <phoneticPr fontId="10" type="noConversion"/>
  </si>
  <si>
    <t>Dual Fan
[Predator AeroBlade Metal Fan *1 + Plastic Fan *1]
Vortex flow</t>
    <phoneticPr fontId="10" type="noConversion"/>
  </si>
  <si>
    <t>Predator AeroBlade Fan*1
Plastic Fan*1</t>
    <phoneticPr fontId="10" type="noConversion"/>
  </si>
  <si>
    <t>Predator AeroBlade Metal Fan *1
Plastic Fan *1</t>
    <phoneticPr fontId="10" type="noConversion"/>
  </si>
  <si>
    <t>5th Gen AeroBlade 3D Fan*2</t>
    <phoneticPr fontId="10" type="noConversion"/>
  </si>
  <si>
    <t>Liquid Metal Thermal Grease</t>
  </si>
  <si>
    <t>No</t>
    <phoneticPr fontId="10" type="noConversion"/>
  </si>
  <si>
    <t>NO</t>
    <phoneticPr fontId="10" type="noConversion"/>
  </si>
  <si>
    <t>Vortex Flow</t>
    <phoneticPr fontId="10" type="noConversion"/>
  </si>
  <si>
    <t>Yes</t>
    <phoneticPr fontId="10" type="noConversion"/>
  </si>
  <si>
    <r>
      <rPr>
        <sz val="12"/>
        <color rgb="FFFF0000"/>
        <rFont val="Predator"/>
      </rPr>
      <t xml:space="preserve">LPDDR5x, 16GB, 7467MT/s  or 8533MT/s [TBD]
LPDDR5x, 24GB, 7467MT/s or 8533MT/s [TBD]
</t>
    </r>
    <r>
      <rPr>
        <sz val="12"/>
        <color theme="1" tint="0.249977111117893"/>
        <rFont val="Predator"/>
      </rPr>
      <t>Memory on Package
Support Dual Channel</t>
    </r>
    <phoneticPr fontId="10" type="noConversion"/>
  </si>
  <si>
    <r>
      <rPr>
        <sz val="12"/>
        <color rgb="FFFF0000"/>
        <rFont val="Predator"/>
      </rPr>
      <t xml:space="preserve">LPDDR5x, 16GB, 7467MT/s or 8533MT/s [TBD]
LPDDR5x, 24GB, 7467MT/s or 8533MT/s [TBD]
</t>
    </r>
    <r>
      <rPr>
        <sz val="12"/>
        <color theme="1" tint="0.249977111117893"/>
        <rFont val="Predator"/>
      </rPr>
      <t>Memory on Package
Support Dual Channel</t>
    </r>
    <phoneticPr fontId="10" type="noConversion"/>
  </si>
  <si>
    <t xml:space="preserve">24GB LPDDR5X on board
Support dual channel memory
or
LPDDR5x-8533
32GB
Memory on Package
or
32GB 7500MT/s LPDDR5X (Z1 Extreme)
</t>
    <phoneticPr fontId="10" type="noConversion"/>
  </si>
  <si>
    <t>Storage</t>
    <phoneticPr fontId="10" type="noConversion"/>
  </si>
  <si>
    <t>PCIe Gen4 M.2 SSD (2280)
SSD slot: 1
up to 1TB</t>
    <phoneticPr fontId="10" type="noConversion"/>
  </si>
  <si>
    <r>
      <t>PC</t>
    </r>
    <r>
      <rPr>
        <sz val="12"/>
        <color theme="1" tint="0.249977111117893"/>
        <rFont val="Predator"/>
      </rPr>
      <t>Ie Gen4 NVMe M.2 SSD (2</t>
    </r>
    <r>
      <rPr>
        <sz val="12"/>
        <color theme="1" tint="0.249977111117893"/>
        <rFont val="Predator"/>
        <family val="3"/>
      </rPr>
      <t>280)
SSD Slot *1
Up to 1TB</t>
    </r>
    <phoneticPr fontId="10" type="noConversion"/>
  </si>
  <si>
    <r>
      <t>PCIe Gen4 NVMe M.2</t>
    </r>
    <r>
      <rPr>
        <vertAlign val="superscript"/>
        <sz val="12"/>
        <color theme="1" tint="0.249977111117893"/>
        <rFont val="Predator"/>
      </rPr>
      <t>TM</t>
    </r>
    <r>
      <rPr>
        <sz val="12"/>
        <color theme="1" tint="0.249977111117893"/>
        <rFont val="Predator"/>
        <family val="3"/>
      </rPr>
      <t xml:space="preserve"> SSD [2280]
SSD slot: 2
Up to 1 TB</t>
    </r>
    <phoneticPr fontId="10" type="noConversion"/>
  </si>
  <si>
    <t>Sensor</t>
    <phoneticPr fontId="10" type="noConversion"/>
  </si>
  <si>
    <t>G+Gyrosensor: 6-Axis IMU * 2</t>
    <phoneticPr fontId="10" type="noConversion"/>
  </si>
  <si>
    <t>G+Gyrosensor: 6-Axis IMU *2</t>
    <phoneticPr fontId="10" type="noConversion"/>
  </si>
  <si>
    <t>1x Fingerprint</t>
    <phoneticPr fontId="10" type="noConversion"/>
  </si>
  <si>
    <t>Wi-Fi</t>
    <phoneticPr fontId="10" type="noConversion"/>
  </si>
  <si>
    <t>Wi-Fi7 Intel Killer 1775s</t>
    <phoneticPr fontId="10" type="noConversion"/>
  </si>
  <si>
    <t>Wi-Fi 7 Intel Killer 1775s</t>
    <phoneticPr fontId="10" type="noConversion"/>
  </si>
  <si>
    <t>Intel® Killer™ AX Wi-Fi 6E</t>
    <phoneticPr fontId="10" type="noConversion"/>
  </si>
  <si>
    <t>Battery [W]</t>
    <phoneticPr fontId="10" type="noConversion"/>
  </si>
  <si>
    <t>80 Whrs [4S1P], 4-cell Li-ion
60 Whrs [4S1P], 4-cell Li-ion</t>
    <phoneticPr fontId="10" type="noConversion"/>
  </si>
  <si>
    <t>80WHrs, 4S1P, 4-cell Li-ion
6-Cell, 54.5 Battery (Whr)
3-cell, 55.5WHr</t>
    <phoneticPr fontId="10" type="noConversion"/>
  </si>
  <si>
    <t>Option 1 Wall Mount
AC Power Adapter, 65W Type-C Power Cord
Option 2 Brick: 
AC Power Adapter, 65W</t>
    <phoneticPr fontId="10" type="noConversion"/>
  </si>
  <si>
    <t>Control/Input</t>
    <phoneticPr fontId="10" type="noConversion"/>
  </si>
  <si>
    <t>Connectivity (control &amp; input):
- Function button * 4
- Direction button (D-pad) (up/down/left/right)
- A/B/X/Y button
- Power Button (with fingerprint)
- Volume button (+/-)
- L &amp; R full-size analog Joystick
- L &amp; R hall effect analog triggers
- L &amp; R bumpers
- L &amp; R Macro button</t>
    <phoneticPr fontId="10" type="noConversion"/>
  </si>
  <si>
    <t>XBOX Game Bar Widget button.
PredatorSense button.
View button.
Menu button.
D-Pad.
A B X Y Button.
Power button with Finger Print.
Volume button(+/-).
L &amp; R full-size analog Joysticks. 
L &amp; R Hall effect analog triggers.
L &amp; R bumpers.
L &amp; R Macro Button.
L &amp; R Adjustable Trigger Switches.</t>
    <phoneticPr fontId="10" type="noConversion"/>
  </si>
  <si>
    <t>View button
Menu button
L &amp; R Hall Effect analog triggers
L &amp; R bumpers
D-pad
Command Center button
Armoury Crate button
A B X Y buttons
2 x assignable grip buttons
Thumbsticks: 2 x full-size analog sticks
Haptics: HD haptics
Gyro:
6-Axis IMU
6-Axis IMU
D-pad
HD haptics
L &amp; R Hall Effect analog triggers
L &amp; R bumpers
MSI Center M button
Macro button (M1/M2)
Menu button
Quick Settings button
RGB ABXY buttons
RGB L &amp; R Hall Effect analog sticks
View button</t>
    <phoneticPr fontId="10" type="noConversion"/>
  </si>
  <si>
    <r>
      <t xml:space="preserve">Thunderbolt™ 4 *2 
</t>
    </r>
    <r>
      <rPr>
        <sz val="12"/>
        <color theme="1" tint="0.249977111117893"/>
        <rFont val="Predator"/>
      </rPr>
      <t>UHSS-II micro SD card reader *1
SD 4.0
Support SD, SDXC, SDHC, SDUC</t>
    </r>
    <r>
      <rPr>
        <sz val="12"/>
        <color theme="1" tint="0.249977111117893"/>
        <rFont val="Predator"/>
        <family val="3"/>
      </rPr>
      <t xml:space="preserve">
</t>
    </r>
    <r>
      <rPr>
        <sz val="12"/>
        <color theme="1" tint="0.249977111117893"/>
        <rFont val="Predator"/>
      </rPr>
      <t>3.5mm Audio Jack (combo) *1</t>
    </r>
    <phoneticPr fontId="10" type="noConversion"/>
  </si>
  <si>
    <r>
      <t xml:space="preserve">Thunderbolt™ 4 *2 
</t>
    </r>
    <r>
      <rPr>
        <sz val="12"/>
        <color theme="1" tint="0.249977111117893"/>
        <rFont val="Predator"/>
      </rPr>
      <t>UHS-II micro SD card reader *1
SD 4.0
Support SD, SDXC, SDHC, SDUC</t>
    </r>
    <r>
      <rPr>
        <sz val="12"/>
        <color theme="1" tint="0.249977111117893"/>
        <rFont val="Predator"/>
        <family val="3"/>
      </rPr>
      <t xml:space="preserve">
</t>
    </r>
    <r>
      <rPr>
        <sz val="12"/>
        <color theme="1" tint="0.249977111117893"/>
        <rFont val="Predator"/>
      </rPr>
      <t>3.5mm Audio Jack (combo) *1</t>
    </r>
    <phoneticPr fontId="10" type="noConversion"/>
  </si>
  <si>
    <t xml:space="preserve">Headphone/mic combo
2x USB4 (USB 40Gbps, DisplayPort™ 1.4, Power Delivery 3.0)
MicroSD card reader
1x 3.5mm Combo Audio Jack
1x USB 3.2 Gen 2 Type-C support DisplayPort™ / power delivery
1x Type C support USB 4 (Thunderbolt™ 4 compliance, DisplayPort™ 1.4 with Freesync support, Power Delivery 3.0)
1x UHS-II microSD card reader (supports SD, SDXC and SDHC)
1x Micro SD Card Reader
2x Thunderbolt™ 4 (DisplayPort™/ Power Delivery 3.0)
</t>
    <phoneticPr fontId="10" type="noConversion"/>
  </si>
  <si>
    <t>codec ALC712
Combo Jack
Speaker: 2W * 2
Mic * 2 
DTS X: Ultra &amp; Hi-Res
Acer Purified Voice</t>
    <phoneticPr fontId="10" type="noConversion"/>
  </si>
  <si>
    <r>
      <t xml:space="preserve">2W Speaker *2
Realtek ALC712
DTS:X Ultra &amp; Hi-Res
Mic(onboard) *2
</t>
    </r>
    <r>
      <rPr>
        <sz val="12"/>
        <color theme="1" tint="0.249977111117893"/>
        <rFont val="Predator"/>
      </rPr>
      <t>Acer PurifiedVoice</t>
    </r>
    <phoneticPr fontId="10" type="noConversion"/>
  </si>
  <si>
    <t xml:space="preserve">2x2W Integrated Speaker System
or
Smart Amp Technology
Hi-Res certification (for headphone)
Dolby Atmos
AI noise-canceling technology
Built-in array microphone
2-speaker system with Smart Amplifier Technology
</t>
    <phoneticPr fontId="10" type="noConversion"/>
  </si>
  <si>
    <t>PredatorSense/NitroSense Version</t>
    <phoneticPr fontId="10" type="noConversion"/>
  </si>
  <si>
    <t>PredatorSense</t>
    <phoneticPr fontId="10" type="noConversion"/>
  </si>
  <si>
    <t>v5.0.1157</t>
    <phoneticPr fontId="10" type="noConversion"/>
  </si>
  <si>
    <t xml:space="preserve"> 2 Month XBOX Game Pass Premium
2 Month XBOX Game Pass Ulitmate
2 Month PC Game Pass
[TBD]</t>
    <phoneticPr fontId="10" type="noConversion"/>
  </si>
  <si>
    <t>Xbox Game Pass Premium_3 months</t>
    <phoneticPr fontId="10" type="noConversion"/>
  </si>
  <si>
    <t>Plastic [No PCR]</t>
    <phoneticPr fontId="10" type="noConversion"/>
  </si>
  <si>
    <t>A: Aluminum (PCR 30%)
B: Plastic
C: Aluminum (PCR 30%)
D: Plastic</t>
    <phoneticPr fontId="10" type="noConversion"/>
  </si>
  <si>
    <t xml:space="preserve">292 x 112.7~123 x 28.5~48.4 mm </t>
    <phoneticPr fontId="10" type="noConversion"/>
  </si>
  <si>
    <t xml:space="preserve">299 x 127.4 x 28.5/58.37mm    </t>
    <phoneticPr fontId="10" type="noConversion"/>
  </si>
  <si>
    <t>22.6mm x 127.55mm x 299mm</t>
    <phoneticPr fontId="10" type="noConversion"/>
  </si>
  <si>
    <t>&lt;750g with 80Wh battery (TBD)
&lt;700g with 60Wh battery (TBD)</t>
    <phoneticPr fontId="10" type="noConversion"/>
  </si>
  <si>
    <t>&lt;810g with 80Whr battery
&lt;770g with 60Whr battery</t>
    <phoneticPr fontId="10" type="noConversion"/>
  </si>
  <si>
    <t>675 g
740g</t>
    <phoneticPr fontId="10" type="noConversion"/>
  </si>
  <si>
    <t>Color</t>
    <phoneticPr fontId="10" type="noConversion"/>
  </si>
  <si>
    <t>Black</t>
    <phoneticPr fontId="10" type="noConversion"/>
  </si>
  <si>
    <t>C Build</t>
    <phoneticPr fontId="10" type="noConversion"/>
  </si>
  <si>
    <t xml:space="preserve">May/M ~Jun (TBD) </t>
    <phoneticPr fontId="10" type="noConversion"/>
  </si>
  <si>
    <t xml:space="preserve">May/M (TBD) </t>
    <phoneticPr fontId="10" type="noConversion"/>
  </si>
  <si>
    <t>Early Q3, 2026</t>
    <phoneticPr fontId="10" type="noConversion"/>
  </si>
  <si>
    <t>June, 2026</t>
    <phoneticPr fontId="10" type="noConversion"/>
  </si>
  <si>
    <t>SPEC version</t>
    <phoneticPr fontId="10" type="noConversion"/>
  </si>
  <si>
    <t>v6-4</t>
    <phoneticPr fontId="10" type="noConversion"/>
  </si>
  <si>
    <t>Phoebe</t>
    <phoneticPr fontId="10" type="noConversion"/>
  </si>
  <si>
    <t>Ken</t>
    <phoneticPr fontId="10" type="noConversion"/>
  </si>
  <si>
    <t>Pan, Albert</t>
  </si>
  <si>
    <t>1. Up to Intel® Core™ Ultra 9 processor 290HX Plus</t>
    <phoneticPr fontId="10" type="noConversion"/>
  </si>
  <si>
    <t>2. Up to NVIDIA® GeForce RTX™ 5080 Laptop GPU (1334 TOPS)</t>
    <phoneticPr fontId="10" type="noConversion"/>
  </si>
  <si>
    <t>3. Thin Metal Chassis Design &lt;18.9mm</t>
    <phoneticPr fontId="10" type="noConversion"/>
  </si>
  <si>
    <t>4. Up to 16” OLED WQXGA 2560 x 1600 Display, 240Hz Refresh</t>
    <phoneticPr fontId="10" type="noConversion"/>
  </si>
  <si>
    <t>MASTER SPEC SHEET - 2025 GAMING LAPTOP PROJECTS</t>
    <phoneticPr fontId="10" type="noConversion"/>
  </si>
  <si>
    <t>RX</t>
  </si>
  <si>
    <t>Helios 16 AI</t>
    <phoneticPr fontId="10" type="noConversion"/>
  </si>
  <si>
    <t>Helios 18 AI</t>
  </si>
  <si>
    <t>Helios Neo 14 AI</t>
    <phoneticPr fontId="10" type="noConversion"/>
  </si>
  <si>
    <t>Helios Neo 16 AI</t>
    <phoneticPr fontId="10" type="noConversion"/>
  </si>
  <si>
    <t>Helios Neo 18 AI</t>
    <phoneticPr fontId="10" type="noConversion"/>
  </si>
  <si>
    <t>Helios Neo 16S AI</t>
  </si>
  <si>
    <t>Triton 14 AI</t>
    <phoneticPr fontId="10" type="noConversion"/>
  </si>
  <si>
    <t>Triton Neo 16 AI</t>
  </si>
  <si>
    <t>Nitro 16 AI</t>
  </si>
  <si>
    <t>Nitro 16S AI</t>
  </si>
  <si>
    <t>Nitro 18 AI</t>
  </si>
  <si>
    <t>Nitro V 14</t>
  </si>
  <si>
    <t>Nitro V 14 AI</t>
  </si>
  <si>
    <t>Nitro V 16</t>
    <phoneticPr fontId="10" type="noConversion"/>
  </si>
  <si>
    <t>Nitro V 16 AI</t>
  </si>
  <si>
    <t>Nitro V 17 AI</t>
  </si>
  <si>
    <t>NITRO V 15</t>
  </si>
  <si>
    <t>NITRO V 15 AI</t>
  </si>
  <si>
    <t>NITRO V 16S</t>
  </si>
  <si>
    <t>NITRO V 16S AI</t>
  </si>
  <si>
    <t>NITRO V 14S</t>
  </si>
  <si>
    <t>PH16-73</t>
  </si>
  <si>
    <t>PH18-73</t>
  </si>
  <si>
    <t>PHN14-71</t>
  </si>
  <si>
    <t>PHN16-73</t>
    <phoneticPr fontId="10" type="noConversion"/>
  </si>
  <si>
    <t>PHN18-72</t>
    <phoneticPr fontId="10" type="noConversion"/>
  </si>
  <si>
    <t>PHN16S-71</t>
  </si>
  <si>
    <t>PT14-52T</t>
    <phoneticPr fontId="10" type="noConversion"/>
  </si>
  <si>
    <t>PTN16-71</t>
    <phoneticPr fontId="10" type="noConversion"/>
  </si>
  <si>
    <t>AN16-61</t>
  </si>
  <si>
    <t>AN16S-61</t>
  </si>
  <si>
    <t>AN18-61</t>
    <phoneticPr fontId="10" type="noConversion"/>
  </si>
  <si>
    <t>ANV14-71</t>
  </si>
  <si>
    <t>ANV14-62 (Krackan Point)
ANV14-41 (Hawk Point)</t>
  </si>
  <si>
    <t>ANV16-72</t>
    <phoneticPr fontId="10" type="noConversion"/>
  </si>
  <si>
    <t>ANV16-61 (Krackan Point)
ANV16-42 (Hawk Point)</t>
  </si>
  <si>
    <t>ANV17-61 (Krackan Point)
ANV17-41 (Hawk Point)</t>
  </si>
  <si>
    <t>ANV15-52</t>
  </si>
  <si>
    <t>ANV15-42</t>
  </si>
  <si>
    <t>ANV16S-71</t>
  </si>
  <si>
    <t>ANV16S-61 (Strix Point)
ANV16S-41 (Hawk Point)</t>
  </si>
  <si>
    <t>ANV14S-71</t>
  </si>
  <si>
    <t>ANV14S-61</t>
  </si>
  <si>
    <t>Emira_ARX</t>
  </si>
  <si>
    <t>Vantage_ARX</t>
  </si>
  <si>
    <t>Panamera_ARH</t>
  </si>
  <si>
    <t>Macan_ARX</t>
  </si>
  <si>
    <t>iX1_ARX</t>
  </si>
  <si>
    <t>FTYPE_ARX</t>
  </si>
  <si>
    <t>Mulliner_LNV</t>
  </si>
  <si>
    <t>Cybertruck_ARH</t>
    <phoneticPr fontId="10" type="noConversion"/>
  </si>
  <si>
    <t>EV9_SKF (AMD)</t>
  </si>
  <si>
    <t>EV3_SKF (AMD)</t>
    <phoneticPr fontId="10" type="noConversion"/>
  </si>
  <si>
    <t>GLC_SKF (AMD)</t>
  </si>
  <si>
    <t>Enyaq_RTH (INTEL)</t>
  </si>
  <si>
    <t>Enyaq_SKF (AMD)</t>
  </si>
  <si>
    <t>RX_RTH (INTEL)</t>
  </si>
  <si>
    <t>RX_SKF (AMD)</t>
    <phoneticPr fontId="10" type="noConversion"/>
  </si>
  <si>
    <t>SU7_SKF (AMD)</t>
  </si>
  <si>
    <t>Sportage_RTH</t>
  </si>
  <si>
    <t>Sportage_HKH</t>
  </si>
  <si>
    <t>BRZ_RTH</t>
  </si>
  <si>
    <t>BRZ_SKF</t>
  </si>
  <si>
    <t>Kodiaq_RTH</t>
  </si>
  <si>
    <t>Kodiaq_SKF</t>
  </si>
  <si>
    <t>MegKey 4.0
6th Gen AeroBlade 3D Fan
Thunderbolt 5</t>
  </si>
  <si>
    <t>Slim</t>
  </si>
  <si>
    <t>Copilot+ PC
NVIDIA Studio Premium Driver
6th Gen AeroBlade 3D fan x 2 
Graphene TIM
Vapor Chamber
Touch Screen
Calman verified
Haptic touchpad with Stylus pen
6 speakers audio design
Human Presence Detection [HPD]</t>
  </si>
  <si>
    <t>Studio driver
Calman</t>
  </si>
  <si>
    <t>Copilot+ PC
Slim</t>
  </si>
  <si>
    <t>slim</t>
  </si>
  <si>
    <t>Slim
Copilot+ PC</t>
  </si>
  <si>
    <t>f</t>
  </si>
  <si>
    <t>PredatorSense/Experience Zone 2.0
PurifiedView 2.0
PurifiedVoice 2.0
ProCam
LiveArt
GIMP
AlterView
Killer
Copilot</t>
  </si>
  <si>
    <t>PredatorSense/Experience Zone 2.0
PurifiedView 2.0
PurifiedVoice 2.0
ProCam
LiveArt
GIMP
AlterView
VisionArt
Killer
Copilot</t>
  </si>
  <si>
    <t>PredatorSense/Experience Zone 2.0
PurifiedView
PurifiedVoice
GIMP
ProClip
LiveArt
AlterView
VisionArt
Killer
Copilot</t>
  </si>
  <si>
    <t>NitroSense/Experience Zone 2.0
PurifiedView (1.0)
PurifiedVoice 2.0
ProCam
LiveArt
Killer
Copilot</t>
  </si>
  <si>
    <t>NitroSense/Experience Zone 2.0
PurifiedView（1.0)
PurifiedVoice 2.0
ProCam
GIMP
Killer
Copilot</t>
  </si>
  <si>
    <t>NitroSense/Experience Zone 2.0
PurifiedView（1.0)
PurifiedVoice (1.0)
ProCam
GIMP
Killer
Copilot</t>
  </si>
  <si>
    <t>NitroSense/Experience Zone 2.0
PurifiedView (1.0)
PurifiedVoice (1.0)
ProCam
LiveArt
Killer
Copilot</t>
  </si>
  <si>
    <t>Intel Core Ultra 9 275HX
(24 Total Cores &amp; 24 Threads, 2.7 GHz P-core Base Freq, 5.4 GHz P-core Max Turbo Freq, 36MB Smart Cache, Integrated NPU with 13 TOPS)
(Arrow Lake-HX)</t>
  </si>
  <si>
    <t xml:space="preserve">
Intel Core Ultra 9 285H
(16 Total Cores &amp; 16 Threads, 2.9 GHz P-core Base Freq, 5.4 GHz P-core Max Turbo Freq, 24MB Smart Cache, Integrated NPU with 13 TOPS)
Intel Core Ultra 7 255H
(16 Total Cores &amp; 16 Threads, 2 GHz P-core Base Freq, 5.1 GHz P-core Max Turbo Freq, 24MB Smart Cache, Integrated NPU with 13 TOPS)
(Arrow Lake-H)</t>
  </si>
  <si>
    <t>Intel Core Ultra 9 275HX 
(24 Total Cores &amp; 24 Threads, 2.7 GHz P-core Base Freq, 5.4 GHz P-core Max Turbo Freq, 36 MB Smart Cache, Integrated NPU with 13 TOPS)
Intel Core Ultra 7 255HX 
(20 Total Cores &amp; 20 Threads, 2.4 GHz P-core Base Freq, 5.2 GHz P-core Max Turbo Freq, 30MB Smart Cache, Integrated NPU with 13 TOPS)
(Arrow Lake-HX)</t>
  </si>
  <si>
    <t>Intel Core Ultra 9 275HX 
(24 Total Cores &amp; 24vThreads, 2.7 GHz P-core Base Freq, 5.4 GHz P-core Max Turbo Freq, 36MB Smart Cache, Integrated NPU with 13 TOPS)
Intel Core Ultra 7 255HX 
(20 Total Cores &amp; 20 Threads, 2.4 GHz P-core Base Freq, 5.2 GHz P-core Max Turbo Freq, 30MB Smart Cache, Integrated NPU with 13 TOPS)
(Arrow Lake-HX)</t>
  </si>
  <si>
    <t>Intel Core Ultra 9 275HX 
(24 Total Cores &amp; 24 Threads, 2.7 GHz P-core Base Freq, 5.4 GHz P-core Max Turbo Freq, 36MB Smart Cache, Integrated NPU with 13 TOPS)
Intel Core Ultra 7 255HX 
(20 Total Cores &amp; 20 Threads, 2.4 GHz P-core Base Freq, 5.2 GHz P-core Max Turbo Freq, 30MB Smart Cache, Integrated NPU with 13 TOPS)
(Arrow Lake-HX)</t>
  </si>
  <si>
    <t>Intel Core Ultra 9 288V
(8 Total Cores &amp; 8 Threads, 3.3 GHz P-core Base Freq, 5.1 GHz P-Core Max Turbo Freq, 12MB Smart Cache, Integrated NPU with 48 TOPS)
(Lunar Lake-V)</t>
    <phoneticPr fontId="10" type="noConversion"/>
  </si>
  <si>
    <t>Intel Arrow Lake H</t>
  </si>
  <si>
    <r>
      <rPr>
        <sz val="12"/>
        <color rgb="FF000000"/>
        <rFont val="Predator"/>
      </rPr>
      <t xml:space="preserve">
AMD Ryzen AI 9 365 (Strix Point)
AMD Ryzen™ AI 7 350 processor 
(8 cores, up to 8 MB L2 cache, up to 16 MB L3 cache, 2.0 GHz with boost up to 5.0 GHz, AMD Ryzen™ AI capable)
</t>
    </r>
    <r>
      <rPr>
        <sz val="12"/>
        <color rgb="FFFF0000"/>
        <rFont val="Predator"/>
      </rPr>
      <t xml:space="preserve">
</t>
    </r>
    <r>
      <rPr>
        <sz val="12"/>
        <color rgb="FF000000"/>
        <rFont val="Predator"/>
      </rPr>
      <t>AMD Ryzen™ AI 5 340 processor 
(6 cores, up to 6 MB L2 cache, up to 16 MB L3 cache, 2.0 GHz with boost up to 4.8 GHz, AMD Ryzen™ AI capable)</t>
    </r>
  </si>
  <si>
    <r>
      <t xml:space="preserve">
AMD Ryzen AI 9 365 (Strix Point)
AMD Ryzen™ AI 7 350 processor 
(8 cores, up to 8 MB L2 cache, up to 16 MB L3 cache, 2.0 GHz with boost up to 5.0 GHz, AMD Ryzen™ AI capable)
</t>
    </r>
    <r>
      <rPr>
        <sz val="12"/>
        <color rgb="FFFF0000"/>
        <rFont val="Predator"/>
      </rPr>
      <t xml:space="preserve">
</t>
    </r>
    <r>
      <rPr>
        <sz val="12"/>
        <color rgb="FF000000"/>
        <rFont val="Predator"/>
      </rPr>
      <t>AMD Ryzen™ AI 5 340 processor 
(6 cores, up to 6 MB L2 cache, up to 16 MB L3 cache, 2.0 GHz with boost up to 4.8 GHz, AMD Ryzen™ AI capable)</t>
    </r>
    <phoneticPr fontId="10" type="noConversion"/>
  </si>
  <si>
    <t>Up to Intel Core 7 processor 240H
Intel Core 5 processor xxxH
(Raptor Lake-H Refresh)</t>
  </si>
  <si>
    <r>
      <rPr>
        <sz val="12"/>
        <color rgb="FF000000"/>
        <rFont val="Predator"/>
      </rPr>
      <t xml:space="preserve">AMD Ryzen™ AI 7 350 processor 
(8 cores, up to 8 MB L2 cache, up to 16 MB L3 cache, 2.0 GHz with boost up to 5.0 GHz, AMD Ryzen™ AI capable)
</t>
    </r>
    <r>
      <rPr>
        <sz val="12"/>
        <color rgb="FFFF0000"/>
        <rFont val="Predator"/>
      </rPr>
      <t xml:space="preserve">
</t>
    </r>
    <r>
      <rPr>
        <sz val="12"/>
        <color rgb="FF000000"/>
        <rFont val="Predator"/>
      </rPr>
      <t>AMD Ryzen™ AI 5 340 processor 
(6 cores, up to 6 MB L2 cache, up to 16 MB L3 cache, 2.0 GHz with boost up to 4.8 GHz, AMD Ryzen™ AI capable)</t>
    </r>
  </si>
  <si>
    <t>Up to Intel Core 9 processor 270H
Intel Core 7 processor 240H
Intel Core 5 processor 210H
(Raptor Lake-H Refresh)</t>
    <phoneticPr fontId="10" type="noConversion"/>
  </si>
  <si>
    <t xml:space="preserve">
AMD Ryzen™ AI 9 365 processor 
(10 cores, up to 10 MB L2 cache, up to 24 MB L3 cache, 2.0 GHz with boost up to 5.0 GHz, AMD Ryzen™ AI capable)
AMD Ryzen™ AI 7 350 processor 
(8 cores, up to 8 MB L2 cache, up to 16 MB L3 cache, 2.0 GHz with boost up to 5.0 GHz, AMD Ryzen™ AI capable)
AMD Ryzen™ AI 5 340 processor 
(6 cores, up to 6 MB L2 cache, up to 16 MB L3 cache, 2.0 GHz with boost up to 4.8 GHz, AMD Ryzen™ AI capable)
</t>
  </si>
  <si>
    <r>
      <rPr>
        <sz val="12"/>
        <color rgb="FF000000"/>
        <rFont val="Predator"/>
      </rPr>
      <t xml:space="preserve">AMD Ryzen™ AI 9 365 processor 
(10 cores, up to 10 MB L2 cache, up to 24 MB L3 cache, 2.0 GHz with boost up to 5.0 GHz, AMD Ryzen™ AI capable)
AMD Ryzen™ AI 7 350 processor 
(8 cores, up to 8 MB L2 cache, up to 16 MB L3 cache, 2.0 GHz with boost up to 5.0 GHz, AMD Ryzen™ AI capable)
</t>
    </r>
    <r>
      <rPr>
        <sz val="12"/>
        <color rgb="FFFF0000"/>
        <rFont val="Predator"/>
      </rPr>
      <t xml:space="preserve">
</t>
    </r>
    <r>
      <rPr>
        <sz val="12"/>
        <color rgb="FF000000"/>
        <rFont val="Predator"/>
      </rPr>
      <t>AMD Ryzen™ AI 5 340 processor 
(6 cores, up to 6 MB L2 cache, up to 16 MB L3 cache, 2.0 GHz with boost up to 4.8 GHz, AMD Ryzen™ AI capable)</t>
    </r>
  </si>
  <si>
    <t>Up to Intel Core 9 processor 270H
Intel Core 7 processor 240H
Intel Core 5 processor 210H
(Raptor Lake-H Refresh)</t>
  </si>
  <si>
    <t>AMD Ryzen™ 7 8845HS processor (8 cores, up to 8 MB L2 cache, up to 5.0 GHz)
AMD Ryzen 5 8645HS processor (6 cores, up to 6 MB L2 cache, up to 16 MB L3 cache, 4.3 GHz with boost up to 5.0 GHz)</t>
  </si>
  <si>
    <t xml:space="preserve">
AMD Ryzen™ AI 9 365 processor 
(10 cores, up to 10 MB L2 cache, up to 24 MB L3 cache, 2.0 GHz with boost up to 5.0 GHz, AMD Ryzen™ AI capable)
R7?
R5?</t>
  </si>
  <si>
    <t>45-50 TOPs</t>
  </si>
  <si>
    <t>50+ TOPs</t>
  </si>
  <si>
    <t>50+ TOPS</t>
  </si>
  <si>
    <t>16 MB L3 cache, 3.8 GHz with boost up to 5.1 GHz)</t>
  </si>
  <si>
    <t>Processor Power</t>
    <phoneticPr fontId="10" type="noConversion"/>
  </si>
  <si>
    <t>Ultra 9: 115W</t>
  </si>
  <si>
    <t>Ultra 9: B1:130W, B2:115W
Ultra 7: B1:130W,B2:115W
Ultra 5: B1:130W,B2:115W</t>
  </si>
  <si>
    <t>Ultra 9: 115W
Ultra 7: 115W
Ultra 5: 115W</t>
  </si>
  <si>
    <t>Ultra 9: 85W
Ultra 7: 85W
Ultra 5: 85W</t>
  </si>
  <si>
    <t>Ultra 9: TBD</t>
  </si>
  <si>
    <t>Ultra 9: 75W
Ultra 7: 75W
Ultra 5: 70W</t>
  </si>
  <si>
    <t>U7: 50W
U5: 50W
(PL1 Max)</t>
  </si>
  <si>
    <t>R7: 15-54W
R5: 15-54W</t>
  </si>
  <si>
    <t>(Turbo mode)
75W</t>
  </si>
  <si>
    <t>R7: 45~54W
R5: 45~54W</t>
  </si>
  <si>
    <t>I7: 55W
I5: 55W</t>
  </si>
  <si>
    <t>R7: 54W
R5: 54W</t>
  </si>
  <si>
    <t>(Turbo mode)
54W</t>
  </si>
  <si>
    <t>NVIDIA® GeForce RTX™ 5090 (X11 24GB)
NVIDIA® GeForce RTX™ 5070 Ti (X7 12GB)</t>
  </si>
  <si>
    <t>NVIDIA® GeForce RTX™ 5090 (X11 24GB)
NVIDIA® GeForce RTX™ 5080 (X9 16GB)</t>
    <phoneticPr fontId="10" type="noConversion"/>
  </si>
  <si>
    <t>NVIDIA® GeForce RTX™ 5070 (X6 8GB)
NVIDIA® GeForce RTX™ 5060 (X4 8GB)</t>
  </si>
  <si>
    <t>NVIDIA® GeForce RTX™ 5070 Ti (X7 12GB)
NVIDIA® GeForce RTX™ 5070 (X6 8GB)
NVIDIA® GeForce RTX™ 5060 (X4 8GB)</t>
  </si>
  <si>
    <t>NVIDIA® GeForce RTX™ 5070 Ti (X7 12GB)
NVIDIA® GeForce RTX™ 5070 (X6 8GB)
NVIDIA® GeForce RTX™ 5060 (X4 8GB)</t>
    <phoneticPr fontId="10" type="noConversion"/>
  </si>
  <si>
    <t>NVIDIA® GeForce RTX™ 5070 (X6 8GB)</t>
    <phoneticPr fontId="10" type="noConversion"/>
  </si>
  <si>
    <t>NVIDIA® GeForce RTX™ 5070 Ti (X7 12GB)
NVIDIA® GeForce RTX™ 5070 (X6 8GB)
NVIDIA® GeForce RTX™ 5060 (X4 8GB)
NVIDIA® GeForce RTX™ 5050 (X2 8GB)</t>
  </si>
  <si>
    <t>Board 2</t>
  </si>
  <si>
    <t>NVIDIA® GeForce RTX™ 5060 (X4 8GB)
NVIDIA® GeForce RTX™ 5050 (X2 8GB)
NVIDIA® GeForce RTX™ 4050 6GB</t>
  </si>
  <si>
    <t>NVIDIA® GeForce RTX™ 5070 (X6 8GB)
NVIDIA® GeForce RTX™ 5060 (X4 8GB)
NVIDIA® GeForce RTX™ 5050 (X2 8GB)</t>
  </si>
  <si>
    <t>NVIDIA® GeForce RTX™ 5070 (X6 8GB)
NVIDIA® GeForce RTX™ 5060 (X4 8GB)
NVIDIA® GeForce RTX™ 5050 (X2 8GB)
NVIDIA® GeForce RTX™ 4050 6GB
NVIDIA® GeForce RTX™ 3050 6G</t>
  </si>
  <si>
    <t>NVIDIA® GeForce RTX™ 5070 (X6 8GB)
NVIDIA® GeForce RTX™ 5060 (X4 8GB)
NVIDIA® GeForce RTX™ 5050 (X2 8GB)
NVIDIA® GeForce RTX™ 4050 6GB</t>
  </si>
  <si>
    <t>NVIDIA® GeForce RTX™ 4050 6G
NVIDIA® GeForce RTX™ 3050 6G</t>
  </si>
  <si>
    <t>Graphic Card Power
Total Graphic Power [TGP]</t>
    <phoneticPr fontId="10" type="noConversion"/>
  </si>
  <si>
    <t>RTX 5090: 150W
RTX 5070 TI: 115W</t>
  </si>
  <si>
    <t>RTX 5090: 150W
RTX 5080: 150W</t>
  </si>
  <si>
    <t>RTX 5070: 100W
RTX 5060: 100W</t>
  </si>
  <si>
    <t>RTX 5070 Ti : 115W
RTX 5070 : 100W
RTX 5060 : 100W</t>
  </si>
  <si>
    <t>RTX 5070 Ti: 115W
RTX 5070: 100W
RTX 5060: 100W</t>
  </si>
  <si>
    <t>RTX 5070 Ti: 100W
RTX 5070: 100W
RTX 5060: 100W</t>
  </si>
  <si>
    <t>RTX 5070: 95W</t>
  </si>
  <si>
    <t>Turbo Mode:
GN22-X2: 95W
GN22-X4: 100W
GN22-X6: 100W</t>
  </si>
  <si>
    <t>RTX 5070 Ti: 100W
RTX 5070: 100W
RTX 5060: 100W
RTX 5050: 100W</t>
  </si>
  <si>
    <t>RTX 5060:45W
RTX 5050: 35W
RTX 4050: 35W
RTX 3050: 35W</t>
  </si>
  <si>
    <t>RTX 5060: 50W
RTX 5050: 50W
RTX 4050: 80W</t>
  </si>
  <si>
    <t>RTX 5070: 80W
RTX 5060: 80W
RTX 5050: 80W</t>
  </si>
  <si>
    <t>RTX 5070: 80W
RTX 5060: 80W
RTX 5050: 80W
RTX 4050: 80W
RTX 3050: 80W</t>
  </si>
  <si>
    <t>RTX 5070: 80W
RTX 5060: 80W
RTX 5050: 80W
RTX 4050: 80W</t>
  </si>
  <si>
    <t>RTX 4050: 60W
RTX 3050: 50W</t>
  </si>
  <si>
    <t>RTX 5070: 70W
RTX 5060: 70W
RTX 5050: 70W</t>
  </si>
  <si>
    <t>Dynamic Boost</t>
    <phoneticPr fontId="10" type="noConversion"/>
  </si>
  <si>
    <t>RTX 5090: 25W
RTX 5070 Ti: 25W</t>
  </si>
  <si>
    <t>RTX 5090: 25W
RTX 5080: 25W</t>
  </si>
  <si>
    <t>RTX 5070: 15W
RTX 5060: 15W</t>
  </si>
  <si>
    <t>RTX 5070 Ti : 25W
RTX 5070: 15W
RTX 5060: 15W</t>
  </si>
  <si>
    <t>RTX 5070 Ti: 25W
RTX 5070: 15W
RTX 5060: 15W</t>
    <phoneticPr fontId="10" type="noConversion"/>
  </si>
  <si>
    <t>RTX 5070 Ti: 15W
RTX 5070: 15W
RTX 5060: 15W</t>
  </si>
  <si>
    <t>RTX 5070: 15W</t>
  </si>
  <si>
    <t>Turbo Mode:
GN22-X2: 15W
GN22-X4: 15W
GN22-X6: 15W</t>
  </si>
  <si>
    <t>RTX 5070 Ti: 15W
RTX 5070: 15W
RTX 5060: 15W
RTX 5050: 15W</t>
  </si>
  <si>
    <t>RTX5060: 10W
RTX 5050: 10W
RTX 4050: 10W
RTX 3050: 10W</t>
  </si>
  <si>
    <t>RTX 5060: 10W
RTX 5050: 10W
RTX 4050: 10W</t>
  </si>
  <si>
    <t>RTX 5070: 15W
RTX 5060: 15W
RTX 5050: 15W</t>
  </si>
  <si>
    <t>RTX 5070: 15W
RTX 5060: 15W
RTX 5050: 15W
RTX 4050: 15W
RTX 3050: 15W</t>
  </si>
  <si>
    <t>RTX 5070: 15W
RTX 5060: 15W
RTX 5050: 15W
RTX 4050: 15W</t>
  </si>
  <si>
    <t>RTX 4050: 15W
RTX 3050: 15W</t>
  </si>
  <si>
    <t>Graphic Card Power
Max Graphic Power [MGP]</t>
    <phoneticPr fontId="10" type="noConversion"/>
  </si>
  <si>
    <t>RTX 5090: 175W
RTX 5070 Ti: 140W</t>
  </si>
  <si>
    <t>RTX 5090: 175W
RTX 5080: 175W</t>
  </si>
  <si>
    <t>RTX 5070: 115W
RTX 5060: 115W</t>
  </si>
  <si>
    <t>RTX 5070 Ti: 140W
RTX 5070: 115W
RTX 5060: 115W</t>
  </si>
  <si>
    <t>RTX 5070 Ti: 115W
RTX 5070: 115W
RTX 5060: 115W</t>
  </si>
  <si>
    <t>RTX 5070: 110W</t>
  </si>
  <si>
    <t>Turbo Mode:
GN22-X2: 110W
GN22-X4: 115W
GN22-X6: 115W</t>
  </si>
  <si>
    <t>RTX 5070 Ti: 115W
RTX 5070: 115W
RTX 5060: 115W
RTX 5050: 115W</t>
  </si>
  <si>
    <t>RTX 5060: 60W
RTX 5050: 60W
RTX 4050: 60W
RTX 3050: 60W</t>
  </si>
  <si>
    <t>RTX 5060: 60W
RTX5050: 60W
RTX4050: 60W</t>
  </si>
  <si>
    <t>RTX 5070: 95W
RTX 5060: 95W
RTX 5050: 95W</t>
  </si>
  <si>
    <t>RTX 5070: 95W
RTX 5060: 95W
RTX 5050: 95W
RTX 4050: 95W
RTX 3050: 95W</t>
  </si>
  <si>
    <t>RTX 5070: 95W
RTX 5060: 95W
RTX 5050: 95W
RTX 4050: 95W</t>
  </si>
  <si>
    <t>RTX 4050: 75W
RTX 3050: 65W</t>
  </si>
  <si>
    <t>RTX 5070: 85W
RTX 5060: 85W
RTX 5050: 85W</t>
  </si>
  <si>
    <t>CPU + GPU
Total Design Power [TDP]</t>
    <phoneticPr fontId="10" type="noConversion"/>
  </si>
  <si>
    <t xml:space="preserve">RTX 5090: 65W + 175W = 240W
</t>
  </si>
  <si>
    <t xml:space="preserve">RTX 5090: 95W + 175W = 270W
RTX 5080: 95W + 175W = 270W
</t>
  </si>
  <si>
    <t>RTX 5070: 45W + 100W = 145W
RTX 5060: 45W + 100W = 145W</t>
  </si>
  <si>
    <t>RTX 5070 Ti: 60W + 140W = 200W
RTX 5070: 60W + 115W = 175W
RTX 5060: 60W + 115W = 175W</t>
  </si>
  <si>
    <t>RTX 5070 Ti: 35W + 100W = 135W
RTX 5070: 35W + 100W = 135W
RTX 5060: 35W + 100W = 135W</t>
  </si>
  <si>
    <t>RTX 5070: 35W + 75W = 110W</t>
  </si>
  <si>
    <t>Turbo Mode:
GN22-X2: 35+95W (130W)
GN22-X4: 35+100W (135W)
GN22-X6: 35+100W (135W)</t>
  </si>
  <si>
    <t>RTX 5070 Ti: 35W + 100W = 135W
RTX 5070: 45W + 100W = 145W
RTX 5060: 45W + 100W = 145W
RTX 5050: 45W + 100W = 145W</t>
  </si>
  <si>
    <t>RTX 5070 Ti: 35W + 95W = 130W
RTX 5070: 35W + 100W = 135W
RTX 5060: 35W + 100W = 135W
RTX 5050: 35W + 100W = 135W</t>
  </si>
  <si>
    <t>RTX 5060: 30W+50W=80W
RTX 5050: 30W+50W=80W
RTX 4050: 30W+50W=80W
RTX 3050: 30W+50W=80W</t>
  </si>
  <si>
    <t>RTX 5060: 30W + 50W = 80W
RTX 5050: 30W + 50W = 80W</t>
  </si>
  <si>
    <t>RTX 5070: 45W + 80W = 125W
RTX 5060: 45W + 80W = 125W
RTX 5050: 45W + 80W = 125W</t>
  </si>
  <si>
    <t>RTX 5070: 45W + 80W = 125W
RTX 5060: 45W + 80W = 125W
RTX 5050: 45W + 80W = 125W
RTX 4050: 45W + 80W = 125W
RTX 3050: 45W + 80W = 125W</t>
  </si>
  <si>
    <t>RTX 5070: 45W + 80W = 125W
RTX 5060: 45W + 80W = 125W
RTX 5050: 45W + 80W = 125W
RTX 4050: 45W + 80W = 125W</t>
  </si>
  <si>
    <t>RTX 4050: 30W+60W=90W
RTX 3050: 35W+50W=85W</t>
  </si>
  <si>
    <t>RTX 5070: 45W + 70W = 115W
RTX 5060: 45W + 70W = 115W
RTX 5050: 45W + 70W = 115W</t>
  </si>
  <si>
    <t>GPU AI TOPS [up to]</t>
    <phoneticPr fontId="10" type="noConversion"/>
  </si>
  <si>
    <t>RTX 5090: 1824 TOPS
RTX 5070 Ti: 992 TOPS</t>
  </si>
  <si>
    <t>RTX 5090: 1824 TOPS
RTX 5080: 1334 TOPS</t>
  </si>
  <si>
    <t>RTX 5070: 798 TOPS
RTX 5060: 572 TOPS</t>
  </si>
  <si>
    <t>RTX 5070 Ti: 992 TOPS
RTX 5070: 798 TOPS
RTX 5060: 572 TOPS</t>
  </si>
  <si>
    <t>RTX 5070: 798 TOPS</t>
  </si>
  <si>
    <t>RTX 4060: 233 TOPS
RTX 4050: 194 TOPS</t>
  </si>
  <si>
    <t xml:space="preserve">RTX 5060: 572 TOPS
</t>
  </si>
  <si>
    <t>RTX 4050: 194 TOPS</t>
  </si>
  <si>
    <t>RTX 5070: 798 TOPS
RTX 5060: 572 TOPS
RTX 5050: (TBC)</t>
  </si>
  <si>
    <t>NVIDIA Advanced Optimus [AO]</t>
    <phoneticPr fontId="10" type="noConversion"/>
  </si>
  <si>
    <t>Yes (with IPS LCD SKU)</t>
  </si>
  <si>
    <t>NO</t>
  </si>
  <si>
    <t>RTX 5070: Yes
RTX 5060: Yes
RTX 5050: Yes</t>
  </si>
  <si>
    <t>MUX Switch</t>
    <phoneticPr fontId="10" type="noConversion"/>
  </si>
  <si>
    <t>Yes (with OLED LCD SKU)</t>
  </si>
  <si>
    <t>Display
[Panel, Resolution, Refresh Rate,Response time, Color Gamut, Brightness]</t>
  </si>
  <si>
    <t>Size: 16.0"
Ratio: 16:10
OLED, WQXGA 2560 x 1600, 240Hz, SDR mode 600 nits, HDR mode 1000 nits, DCI-P3 100%, 3ms</t>
  </si>
  <si>
    <t>Size: 18.0"
Ratio: 16:10
Mini LED, WQUXGA 4K, 120Hz, SDR mode 600 nits / HDR mode 1000 nits, DCI-P3 100%, 3ms
  (only bundle U9 + RTX5090)
Mini LED, WQXGA 2560 x 1600, 250Hz, SDR mode 600 nits / HDR mode 1000 nits, DCI-P3 100%, 3ms
  (only bundle U9 + RTX5080 )</t>
  </si>
  <si>
    <t>Size: 14.5"
Ratio: 16:10
OLED, 2.8K WQXGA+ 2880*1800, 120Hz, 0.2ms, 400 nits, DCI-P3 100%
IPS, WQXGA 2560*1600, 165Hz, 3ms 400 nits, sRGB 100%</t>
    <phoneticPr fontId="10" type="noConversion"/>
  </si>
  <si>
    <t>Size: 16.0"
Ratio: 16:10
OLED WQXGA 2560 x 1600 240 Hz,400 nits DCI-P3 100%, 1ms
WQXGA 2560 x 1600, 240Hz, 500 nits, DCI-P3 100%, 3ms
WQXGA 2560 x 1600, 180Hz, 400 nits, sRGB 100%, 3ms
WUXGA 1920 x 1200, 180Hz, 400 nits, sRGB 100%, 3ms</t>
    <phoneticPr fontId="10" type="noConversion"/>
  </si>
  <si>
    <t>Size: 18.0"
Ratio: 16:10
Mini LED WQXGA 2560 x 1600 250 Hz, DCI-P3 100%, 3ms
LED, WQXGA 2560 x 1600, 240Hz, 500 nits, DCI-P3 100%, 3ms
LED, WQXGA 2560 x 1600, 165Hz, 300 nits, DCI-P3 100%, 3ms
LED, WUXGA 1920 x 1200, 165Hz, 300 nits, sRGB 100%, 3ms</t>
  </si>
  <si>
    <t>Size: 16"
Ratio: 16:10
OLED WQXGA 2560 x 1600 240 Hz, DCI-P3 100%, 1ms
OLED WQXGA 2560 x 1600 165 Hz, DCI-P3 100%, 1ms</t>
  </si>
  <si>
    <t>Size: 14.5"
Ratio: 16:10
OLED, WQXGA+ 2880*1800, 120Hz, 340 nits, DCI-P3 100%, 1ms
Suuport finger touch only (not pen)</t>
    <phoneticPr fontId="10" type="noConversion"/>
  </si>
  <si>
    <t>Size: 16"
Ratio: 16:10
OLED, WQXGA+ , 165Hz, 400 nits, DCI-P3 100%, 1ms</t>
  </si>
  <si>
    <t>16"
16:10
WQXGA 2560 x 1600 /180Hz/400 nits/3ms/sRGB 100%
WQXGA/180Hz/400 nits/sRGB 100%
WUXGA/180Hz/400 nits/sRGB 100%</t>
  </si>
  <si>
    <t>16"
16:10
WQXGA 2560 x 1600/180Hz/400 nits/3ms/sRGB 100%
WQXGA/180Hz/400 nits/sRGB 100%
WUXGA/180Hz/400 nits/sRGB 100%</t>
    <phoneticPr fontId="10" type="noConversion"/>
  </si>
  <si>
    <t>18"
16:10
WQXGA 2560 x 1600 /165Hz/300 nits/3ms/DCI-P3 100%
WUXGA/165Hz/300 nits/8ms/sRGB 100%
WUXGA/165Hz/300 nits/9ms/sRGB 100%</t>
  </si>
  <si>
    <t>Size: 14.5"
Ratio: 16:10
WQXGA/165Hz/400nits/sRGB 100%
WUXGA/120Hz/300nits/sRGB 100%</t>
  </si>
  <si>
    <t>Size: 14.5"
Ratio: 16:10
WQXGA 2560 x 1600/165Hz/400nits
WUXGA/120Hz/300nits
Response Time:3ms</t>
  </si>
  <si>
    <t>Size: 16.0"
Ratio: 16:10
WQXGA 2560 x 1600/180Hz/sRGB 100%/400 nits
WUXGA 1920 x 1200/180Hz/sRGB 100%/400 nits
WUXGA 1920 x 1200/165Hz/NTSC 45%/300 nits
Response Time: 3ms</t>
  </si>
  <si>
    <t>Size: 17.3"
Ratio: 16:9
QHD 2560 x 1440/165hz/3ms/DCI-P3 100%/300nits
FHD/144hz/25ms/NTSC 45%/250nits
FHD/180hz/3ms/sRGB 100%/300nits</t>
    <phoneticPr fontId="10" type="noConversion"/>
  </si>
  <si>
    <t xml:space="preserve">Size: 15.6"
Ratio: 16:9
3ms for 180Hz
Full HD 1920 x 1080, 180Hz, 300 nits, sRGB 100%
Full HD 1920 x 1080, 165Hz, 300 nits, NTSC 45% </t>
  </si>
  <si>
    <t>Size: 16.0"
Ratio: 16:10
WQXGA 2560 x 1600/180Hz/sRGB 100%/400 nits
WUXGA 1920 x 1200/180Hz/sRGB 100%/400 nits
Response Time: 3ms</t>
  </si>
  <si>
    <t>90.87%%</t>
  </si>
  <si>
    <t>G-SYNC (Level)</t>
    <phoneticPr fontId="10" type="noConversion"/>
  </si>
  <si>
    <t>Yes (G-SYNC)</t>
  </si>
  <si>
    <t>Yes (G-SYNC) (with IPS LCD SKU)</t>
  </si>
  <si>
    <t>HDR (High Dynamic Range)</t>
    <phoneticPr fontId="10" type="noConversion"/>
  </si>
  <si>
    <t>Yes(OLED only)</t>
  </si>
  <si>
    <t>6th AeroBlade Metal Fan*2</t>
  </si>
  <si>
    <t>5th AeroBlade Metal Fan*1
Plastic Fan*1</t>
  </si>
  <si>
    <t>Plastic Fan*1</t>
  </si>
  <si>
    <t>Yes(Graphene on CPU)</t>
  </si>
  <si>
    <t>Vector Heat Pipe</t>
    <phoneticPr fontId="10" type="noConversion"/>
  </si>
  <si>
    <t>DDR5 6400Hz
Max Capacity; 64GB [32GB*2]</t>
    <phoneticPr fontId="10" type="noConversion"/>
  </si>
  <si>
    <t>DDR5 5600MT/s
Up to 192 GB</t>
  </si>
  <si>
    <t>LPDDR5X SDRAM 7467 MT/s (on-board)
Max Capacity: 32 GB</t>
  </si>
  <si>
    <t>DDR5 6400MT/s
Max Capacity; 64 GB</t>
  </si>
  <si>
    <t>LPDDR5x 8533MT/s
Max Capacity; 32 GB</t>
  </si>
  <si>
    <t>LPDDR5x 6400Hz (TBD)
Max Capacity; 32 GB</t>
  </si>
  <si>
    <t>DDR5 5600MT/s x 2
Up to 32 GB</t>
  </si>
  <si>
    <t>DDR5 5600MT/s x 2
Max Capacity; 32 GB</t>
  </si>
  <si>
    <t>DDR5 5600Hz
Max Capacity; 32 GB</t>
  </si>
  <si>
    <t>DDR5 5600MT/s
Max Capacity; 32 GB</t>
  </si>
  <si>
    <t>DDR5 (DIMM * 2, 8GB / 16GB, up to 32GB)
(MT/s 5600 for Core i7)
(MT/s 5200 for  Core i5)</t>
  </si>
  <si>
    <t>DDR5 5600MT/s 
Max Capacity; 32 GB</t>
  </si>
  <si>
    <t>DDR5 5200MT/s(I5), 5600MT/s(I7)
Max Capacity; 32 GB</t>
  </si>
  <si>
    <t>DDR5 (DIMM * 2, 8GB / 16GB, up to 32GB)
(MT/s 5600 for Core i7)</t>
  </si>
  <si>
    <t>DDR5 (DIMM * 2, 8GB / 16GB, up to 32GB)
(MT/s 5600 )</t>
  </si>
  <si>
    <t>PCIe SSD Gen5: 1, Gen4: 1
Up to 4 TB</t>
  </si>
  <si>
    <t>PCIe SSD Gen 5 x 3
Up to 6 TB</t>
  </si>
  <si>
    <t>PCIe Gen4 SSD slot: 2
Up to 2 TB</t>
  </si>
  <si>
    <t>PCIe Gen4 x 2
SSD slot: 2
Up to 2 TB</t>
  </si>
  <si>
    <t>PCIe Gen4 SSD x 2
Up to 2 TB</t>
  </si>
  <si>
    <t>PCIe Gen4 SSD: 1
Up to 2 TB</t>
    <phoneticPr fontId="10" type="noConversion"/>
  </si>
  <si>
    <t>PCIe Gen4 SSD: 2
Up to 2 TB</t>
  </si>
  <si>
    <t>PCIe Gen4 2280 M.2 SSD * 2
Up to 2TB</t>
  </si>
  <si>
    <t>PCIe Gen4 2280 SSD * 2
Up to 2TB</t>
  </si>
  <si>
    <t>PCIe Gen4 x 4
SSD slot: 2
Up to 2 TB</t>
  </si>
  <si>
    <t>gen4 x4 &amp; gen4 x2
SSD slot: 2
Up to 2 TB</t>
  </si>
  <si>
    <t>M.2 SSD PCIE Gen4 x1, Gen3 x1
SSD slot: 2
Up to 2 TB</t>
  </si>
  <si>
    <t>M.2 SSD PCIE Gen4 x2
SSD slot: 2
Up to 2 TB</t>
  </si>
  <si>
    <t>PCIe Gen4
SSD slot: 2
Up to 2 TB</t>
  </si>
  <si>
    <t>Killer Wi-Fi 7 1750x</t>
  </si>
  <si>
    <t>Wi-Fi 6E 1675i</t>
  </si>
  <si>
    <t>Wi-Fi 6E 1675i
Killer E3100</t>
  </si>
  <si>
    <t>Killer Wi-Fi 6E 1675i
Killer E3100</t>
  </si>
  <si>
    <t>Killer Wi-Fi 7 1750i</t>
  </si>
  <si>
    <t>Wi-Fi 6 1675i</t>
  </si>
  <si>
    <t>Wi-Fi 6E RZ16E</t>
  </si>
  <si>
    <t>Killer Wi-Fi 6</t>
  </si>
  <si>
    <t>5.2 or above</t>
  </si>
  <si>
    <t>RTL8111H-CG</t>
  </si>
  <si>
    <t>90Whr</t>
  </si>
  <si>
    <t>99Whr</t>
  </si>
  <si>
    <t>76Whr</t>
  </si>
  <si>
    <t xml:space="preserve"> 90Whr</t>
  </si>
  <si>
    <t xml:space="preserve"> 76W</t>
  </si>
  <si>
    <t>57Whr
76Whr</t>
  </si>
  <si>
    <t>57Whr</t>
  </si>
  <si>
    <t>GN22-X2: 230W
GN22-X4: 230W
GN22-X6: 230W</t>
  </si>
  <si>
    <t>5.5phy, 230W</t>
  </si>
  <si>
    <t>5.5phy,
WQXGA: 230W</t>
  </si>
  <si>
    <t xml:space="preserve">
GN22-X4: 135W
GN22-X2: 135W
RTX 4050: 135W
RTX 3050: 135W</t>
  </si>
  <si>
    <r>
      <rPr>
        <b/>
        <u/>
        <sz val="12"/>
        <color rgb="FF000000"/>
        <rFont val="Predator"/>
      </rPr>
      <t xml:space="preserve">TypeC
</t>
    </r>
    <r>
      <rPr>
        <sz val="12"/>
        <color rgb="FF000000"/>
        <rFont val="Predator"/>
      </rPr>
      <t xml:space="preserve">Thunderbolt™ 5*2
</t>
    </r>
    <r>
      <rPr>
        <b/>
        <u/>
        <sz val="12"/>
        <color rgb="FF000000"/>
        <rFont val="Predator"/>
      </rPr>
      <t xml:space="preserve">
Type A
</t>
    </r>
    <r>
      <rPr>
        <sz val="12"/>
        <color rgb="FF000000"/>
        <rFont val="Predator"/>
      </rPr>
      <t>USB 3.2 Gen 1*1
USB 3.2 Gen 2*2 (one with offline charging)
HDMI 2.1*1
microSD™ Card reader*1
3.5mm Combo Audio Jack*1
RJ-45*1
DC-In*1
K-lock*1</t>
    </r>
  </si>
  <si>
    <r>
      <rPr>
        <b/>
        <u/>
        <sz val="12"/>
        <color rgb="FF000000"/>
        <rFont val="Predator"/>
      </rPr>
      <t xml:space="preserve">TypeC
</t>
    </r>
    <r>
      <rPr>
        <sz val="12"/>
        <color rgb="FF000000"/>
        <rFont val="Predator"/>
      </rPr>
      <t xml:space="preserve">Thunderbolt™ 5*2
</t>
    </r>
    <r>
      <rPr>
        <b/>
        <u/>
        <sz val="12"/>
        <color rgb="FF000000"/>
        <rFont val="Predator"/>
      </rPr>
      <t xml:space="preserve">
Type A
</t>
    </r>
    <r>
      <rPr>
        <sz val="12"/>
        <color rgb="FF000000"/>
        <rFont val="Predator"/>
      </rPr>
      <t>USB 3.2 Gen 1*1
USB 3.2 Gen 2*2 (one with offline charging)
USB 3.2 Gen 1 x 1
HDMI 2.1*1
SD™ Card reader*1
3.5mm Combo Audio Jack*1
RJ-45*1
DC-In*1
K-lock*1</t>
    </r>
  </si>
  <si>
    <r>
      <rPr>
        <b/>
        <u/>
        <sz val="12"/>
        <color rgb="FF000000"/>
        <rFont val="Predator"/>
      </rPr>
      <t xml:space="preserve">TypeC
</t>
    </r>
    <r>
      <rPr>
        <sz val="12"/>
        <color rgb="FF000000"/>
        <rFont val="Predator"/>
      </rPr>
      <t xml:space="preserve">Thunderbolt™ 4*1
USB 3.2 Gen 2 (DP+PD+USB)*1
</t>
    </r>
    <r>
      <rPr>
        <b/>
        <u/>
        <sz val="12"/>
        <color rgb="FF000000"/>
        <rFont val="Predator"/>
      </rPr>
      <t xml:space="preserve">
TypeA
</t>
    </r>
    <r>
      <rPr>
        <sz val="12"/>
        <color rgb="FF000000"/>
        <rFont val="Predator"/>
      </rPr>
      <t>USB 3.2 Gen 2*2 (one with offline charging)
HDMI 2.1*1
microSD™ Card reader*1
3.5mm Combo Audio Jack*1
DC-In*1
K-lock*1</t>
    </r>
  </si>
  <si>
    <r>
      <rPr>
        <b/>
        <sz val="12"/>
        <color rgb="FF000000"/>
        <rFont val="Predator"/>
      </rPr>
      <t xml:space="preserve">TypeC
</t>
    </r>
    <r>
      <rPr>
        <sz val="12"/>
        <color rgb="FF000000"/>
        <rFont val="Predator"/>
      </rPr>
      <t xml:space="preserve">Thunderbolt™ 4 x 1
USB 3.2 Gen 2 Type C full function x 1
</t>
    </r>
    <r>
      <rPr>
        <b/>
        <sz val="12"/>
        <color rgb="FF000000"/>
        <rFont val="Predator"/>
      </rPr>
      <t xml:space="preserve">
Type A
USB 3.2 Gen </t>
    </r>
    <r>
      <rPr>
        <sz val="12"/>
        <color rgb="FF000000"/>
        <rFont val="Predator"/>
      </rPr>
      <t>1 x 1
USB 3.2 Gen 2*2 (one with offline charging)
HDMI 2.1*1
microSD™ Card reader*1
3.5mm Combo Audio Jack*1
RJ-45*1
DC-In*1
K-lock*1</t>
    </r>
  </si>
  <si>
    <r>
      <rPr>
        <b/>
        <u/>
        <sz val="12"/>
        <color rgb="FF000000"/>
        <rFont val="Predator"/>
      </rPr>
      <t xml:space="preserve">TypeC
</t>
    </r>
    <r>
      <rPr>
        <sz val="12"/>
        <color rgb="FF000000"/>
        <rFont val="Predator"/>
      </rPr>
      <t xml:space="preserve">Thunderbolt™ 4 x 1
USB 3.2 Gen 2 Type C x 1
</t>
    </r>
    <r>
      <rPr>
        <b/>
        <u/>
        <sz val="12"/>
        <color rgb="FF000000"/>
        <rFont val="Predator"/>
      </rPr>
      <t xml:space="preserve">
Type A
</t>
    </r>
    <r>
      <rPr>
        <sz val="12"/>
        <color rgb="FF000000"/>
        <rFont val="Predator"/>
      </rPr>
      <t>USB 3.2 Gen 1*2
USB 3.2 Gen 2*2 (one with offline charging)
HDMI 2.1*1
microSD™ Card reader*1
3.5mm Combo Audio Jack*1
RJ-45*1
DC-In*1
K-lock*1</t>
    </r>
  </si>
  <si>
    <r>
      <rPr>
        <b/>
        <u/>
        <sz val="12"/>
        <color rgb="FF000000"/>
        <rFont val="Predator"/>
      </rPr>
      <t xml:space="preserve">TypeC
</t>
    </r>
    <r>
      <rPr>
        <sz val="12"/>
        <color rgb="FF000000"/>
        <rFont val="Predator"/>
      </rPr>
      <t xml:space="preserve">Thunderbolt™ 4 x 1
USB 3.2 Gen 2 full function x 1
</t>
    </r>
    <r>
      <rPr>
        <b/>
        <u/>
        <sz val="12"/>
        <color rgb="FF000000"/>
        <rFont val="Predator"/>
      </rPr>
      <t xml:space="preserve">
Type A
</t>
    </r>
    <r>
      <rPr>
        <sz val="12"/>
        <color rgb="FF000000"/>
        <rFont val="Predator"/>
      </rPr>
      <t>USB 3.2 Gen 1 x 2
USB 3.2 Gen 2*2 (one with offline charging)
USB 3.2 Gen 1 x 1
HDMI 2.1*1
microSD™ Card reader*1
3.5mm Combo Audio Jack*1
RJ-45*1
DC-In*1
K-lock*1</t>
    </r>
  </si>
  <si>
    <r>
      <rPr>
        <b/>
        <u/>
        <sz val="12"/>
        <color rgb="FF000000"/>
        <rFont val="Predator"/>
      </rPr>
      <t xml:space="preserve">TypeC
</t>
    </r>
    <r>
      <rPr>
        <sz val="12"/>
        <color rgb="FF000000"/>
        <rFont val="Predator"/>
      </rPr>
      <t xml:space="preserve">Thunderbolt™ 4*1
USB 3.2 Gen 2 (USB3.2, PD3.1 with EPR(28V), DP2.1)*1
</t>
    </r>
    <r>
      <rPr>
        <b/>
        <u/>
        <sz val="12"/>
        <color rgb="FF000000"/>
        <rFont val="Predator"/>
      </rPr>
      <t xml:space="preserve">Type A
</t>
    </r>
    <r>
      <rPr>
        <sz val="12"/>
        <color rgb="FF000000"/>
        <rFont val="Predator"/>
      </rPr>
      <t>USB 3.2 Gen 2*2 (one with offline charging)
HDMI 2.1*1
microSD™ Card reader*1
3.5mm Combo Audio Jack*1</t>
    </r>
  </si>
  <si>
    <r>
      <rPr>
        <b/>
        <u/>
        <sz val="12"/>
        <color rgb="FF000000"/>
        <rFont val="Predator"/>
      </rPr>
      <t xml:space="preserve">TypeC
</t>
    </r>
    <r>
      <rPr>
        <sz val="12"/>
        <color rgb="FF000000"/>
        <rFont val="Predator"/>
      </rPr>
      <t xml:space="preserve">Thunderbolt™ 4*1
USB 3.2 Gen 2 (DP+PD+USB)*1
</t>
    </r>
    <r>
      <rPr>
        <b/>
        <u/>
        <sz val="12"/>
        <color rgb="FF000000"/>
        <rFont val="Predator"/>
      </rPr>
      <t xml:space="preserve">
</t>
    </r>
    <r>
      <rPr>
        <b/>
        <u/>
        <sz val="11"/>
        <color rgb="FF000000"/>
        <rFont val="Predator"/>
      </rPr>
      <t xml:space="preserve">Type A
</t>
    </r>
    <r>
      <rPr>
        <sz val="11"/>
        <color rgb="FF000000"/>
        <rFont val="Predator"/>
      </rPr>
      <t xml:space="preserve">USB 3.2 Gen 2*2 (one with offline charging)
</t>
    </r>
    <r>
      <rPr>
        <sz val="12"/>
        <color rgb="FF000000"/>
        <rFont val="Predator"/>
      </rPr>
      <t xml:space="preserve">
HDMI 2.1*1
microSD™ Card reader*1
3.5mm Combo Audio Jack*1
DC-In*1
K-lock*1</t>
    </r>
  </si>
  <si>
    <r>
      <rPr>
        <b/>
        <u/>
        <sz val="12"/>
        <color rgb="FF000000"/>
        <rFont val="Predator"/>
      </rPr>
      <t xml:space="preserve">Type C
</t>
    </r>
    <r>
      <rPr>
        <sz val="12"/>
        <color rgb="FF000000"/>
        <rFont val="Predator"/>
      </rPr>
      <t xml:space="preserve">USB 4 Full function
</t>
    </r>
    <r>
      <rPr>
        <b/>
        <u/>
        <sz val="12"/>
        <color rgb="FF000000"/>
        <rFont val="Predator"/>
      </rPr>
      <t xml:space="preserve">Type A
</t>
    </r>
    <r>
      <rPr>
        <b/>
        <sz val="12"/>
        <color rgb="FF000000"/>
        <rFont val="Predator"/>
      </rPr>
      <t>USB3.2 Ge</t>
    </r>
    <r>
      <rPr>
        <sz val="12"/>
        <color rgb="FF000000"/>
        <rFont val="Predator"/>
      </rPr>
      <t>n2x2 (offline charging)
USB2.0
HDMI 2.1 x 1
Micro SD card x 1
RJ45 x 1
K-lock*1
DC-In x 1</t>
    </r>
  </si>
  <si>
    <r>
      <rPr>
        <sz val="12"/>
        <color rgb="FF000000"/>
        <rFont val="Predator"/>
      </rPr>
      <t xml:space="preserve">
</t>
    </r>
    <r>
      <rPr>
        <b/>
        <u/>
        <sz val="12"/>
        <color rgb="FF000000"/>
        <rFont val="Predator"/>
      </rPr>
      <t xml:space="preserve">Type C
</t>
    </r>
    <r>
      <rPr>
        <sz val="12"/>
        <color rgb="FF000000"/>
        <rFont val="Predator"/>
      </rPr>
      <t xml:space="preserve">USB4 x 1
USB3.2 Gen 2 full function x 1
</t>
    </r>
    <r>
      <rPr>
        <b/>
        <u/>
        <sz val="12"/>
        <color rgb="FF000000"/>
        <rFont val="Predator"/>
      </rPr>
      <t xml:space="preserve">Type A
</t>
    </r>
    <r>
      <rPr>
        <sz val="12"/>
        <color rgb="FF000000"/>
        <rFont val="Predator"/>
      </rPr>
      <t>USB3.2 gen 2 x 2 (one offline charging)
USB 2
HDMI 2.1 x 1
MicroSD card x 1
RJ45 x 1
DC-in x 1
K-lock*1</t>
    </r>
  </si>
  <si>
    <r>
      <rPr>
        <b/>
        <u/>
        <sz val="12"/>
        <color rgb="FF000000"/>
        <rFont val="Predator"/>
      </rPr>
      <t xml:space="preserve">Type C
</t>
    </r>
    <r>
      <rPr>
        <sz val="12"/>
        <color rgb="FF000000"/>
        <rFont val="Predator"/>
      </rPr>
      <t xml:space="preserve">USB4
USB 3.2 Gen 2 Full Function x 1
</t>
    </r>
    <r>
      <rPr>
        <b/>
        <u/>
        <sz val="12"/>
        <color rgb="FF000000"/>
        <rFont val="Predator"/>
      </rPr>
      <t xml:space="preserve">Type A
</t>
    </r>
    <r>
      <rPr>
        <sz val="12"/>
        <color rgb="FF000000"/>
        <rFont val="Predator"/>
      </rPr>
      <t>USB3.2 Gen 2 x 2 (one offline chargin)
USB2.0
HDMI 2.1 x 1
MicroSD card x 1
RJ45 x 1
DC-in x 1
K-lock*1</t>
    </r>
  </si>
  <si>
    <r>
      <rPr>
        <b/>
        <u/>
        <sz val="12"/>
        <color rgb="FF000000"/>
        <rFont val="Predator"/>
      </rPr>
      <t xml:space="preserve">TypeC
</t>
    </r>
    <r>
      <rPr>
        <sz val="12"/>
        <color rgb="FF000000"/>
        <rFont val="Predator"/>
      </rPr>
      <t xml:space="preserve">Thunderbolt™ 4*1
</t>
    </r>
    <r>
      <rPr>
        <b/>
        <u/>
        <sz val="12"/>
        <color rgb="FF000000"/>
        <rFont val="Predator"/>
      </rPr>
      <t xml:space="preserve">
Type A
</t>
    </r>
    <r>
      <rPr>
        <sz val="12"/>
        <color rgb="FF000000"/>
        <rFont val="Predator"/>
      </rPr>
      <t>USB 3.2 Gen 2*1 (with offline charging)
USB 3.2 Gen 1*1
HDMI 2.1*1
microSD™ Card reader*1
3.5mm Combo Audio Jack*1
DC-In*1
K-lock*1</t>
    </r>
  </si>
  <si>
    <r>
      <t>TypeC</t>
    </r>
    <r>
      <rPr>
        <sz val="12"/>
        <color rgb="FF000000"/>
        <rFont val="Predator"/>
        <family val="3"/>
      </rPr>
      <t xml:space="preserve">
USB 4*2</t>
    </r>
    <r>
      <rPr>
        <b/>
        <u/>
        <sz val="12"/>
        <color rgb="FF000000"/>
        <rFont val="Predator"/>
        <family val="3"/>
      </rPr>
      <t xml:space="preserve">
Type A</t>
    </r>
    <r>
      <rPr>
        <sz val="12"/>
        <color rgb="FF000000"/>
        <rFont val="Predator"/>
        <family val="3"/>
      </rPr>
      <t xml:space="preserve">
USB 3.2 Gen 2*1 (with offline charging)
USB 3.2 Gen 1*1
HDMI 2.1*1
microSD™ Card reader*1
3.5mm Combo Audio Jack*1
DC-In*1
K-lock*1</t>
    </r>
  </si>
  <si>
    <r>
      <rPr>
        <b/>
        <u/>
        <sz val="12"/>
        <color rgb="FF000000"/>
        <rFont val="Predator"/>
      </rPr>
      <t xml:space="preserve">TypeC
</t>
    </r>
    <r>
      <rPr>
        <sz val="12"/>
        <color rgb="FF000000"/>
        <rFont val="Predator"/>
      </rPr>
      <t xml:space="preserve">Thunderbolt™ 4*1
</t>
    </r>
    <r>
      <rPr>
        <u/>
        <sz val="12"/>
        <color rgb="FF000000"/>
        <rFont val="Predator"/>
      </rPr>
      <t xml:space="preserve">
</t>
    </r>
    <r>
      <rPr>
        <b/>
        <u/>
        <sz val="12"/>
        <color rgb="FF000000"/>
        <rFont val="Predator"/>
      </rPr>
      <t xml:space="preserve">Type A
</t>
    </r>
    <r>
      <rPr>
        <sz val="12"/>
        <color rgb="FF000000"/>
        <rFont val="Predator"/>
      </rPr>
      <t>USB 3.2 Gen 2*2 (one with offline charging)
USB 3.2 Gen 1*1
HDMI 2.1*1
microSD™ Card reader*1
3.5mm Combo Audio Jack*1
RJ-45*1
DC-In*1
K-lock*1</t>
    </r>
  </si>
  <si>
    <r>
      <rPr>
        <b/>
        <u/>
        <sz val="12"/>
        <color rgb="FF000000"/>
        <rFont val="Predator"/>
      </rPr>
      <t xml:space="preserve">TypeC
</t>
    </r>
    <r>
      <rPr>
        <sz val="12"/>
        <color rgb="FF000000"/>
        <rFont val="Predator"/>
      </rPr>
      <t xml:space="preserve">USB 4*1
</t>
    </r>
    <r>
      <rPr>
        <b/>
        <u/>
        <sz val="12"/>
        <color rgb="FF000000"/>
        <rFont val="Predator"/>
      </rPr>
      <t xml:space="preserve">
Type A
</t>
    </r>
    <r>
      <rPr>
        <sz val="12"/>
        <color rgb="FF000000"/>
        <rFont val="Predator"/>
      </rPr>
      <t>USB 3.2 Gen 2*2 (one with offline charging)
USB 3.2 Gen 1*1
HDMI 2.1*1
microSD™ Card reader*1
3.5mm Combo Audio Jack*1
RJ-45*1
DC-In*1
K-lock*1</t>
    </r>
  </si>
  <si>
    <r>
      <rPr>
        <b/>
        <u/>
        <sz val="12"/>
        <color rgb="FF000000"/>
        <rFont val="Predator"/>
      </rPr>
      <t xml:space="preserve">TypeC
</t>
    </r>
    <r>
      <rPr>
        <u/>
        <sz val="12"/>
        <color rgb="FF000000"/>
        <rFont val="Predator"/>
      </rPr>
      <t xml:space="preserve">USB 4*1
</t>
    </r>
    <r>
      <rPr>
        <b/>
        <u/>
        <sz val="12"/>
        <color rgb="FF000000"/>
        <rFont val="Predator"/>
      </rPr>
      <t xml:space="preserve">
Type A
</t>
    </r>
    <r>
      <rPr>
        <sz val="12"/>
        <color rgb="FF000000"/>
        <rFont val="Predator"/>
      </rPr>
      <t xml:space="preserve">USB 3.2 Gen 2*2 (one with offline charging)
USB 3.2 Gen 1*1
</t>
    </r>
    <r>
      <rPr>
        <u/>
        <sz val="12"/>
        <color rgb="FF000000"/>
        <rFont val="Predator"/>
      </rPr>
      <t xml:space="preserve">
</t>
    </r>
    <r>
      <rPr>
        <sz val="12"/>
        <color rgb="FF000000"/>
        <rFont val="Predator"/>
      </rPr>
      <t>HDMI 2.1*1
microSD™ Card reader*1
3.5mm Combo Audio Jack*1
RJ-45*1
DC-In*1
K-lock*1</t>
    </r>
  </si>
  <si>
    <r>
      <rPr>
        <b/>
        <u/>
        <sz val="12"/>
        <color rgb="FF000000"/>
        <rFont val="Predator"/>
      </rPr>
      <t xml:space="preserve">TypeC
</t>
    </r>
    <r>
      <rPr>
        <sz val="12"/>
        <color rgb="FF000000"/>
        <rFont val="Predator"/>
      </rPr>
      <t xml:space="preserve">Thunderbolt 4*1
</t>
    </r>
    <r>
      <rPr>
        <u/>
        <sz val="12"/>
        <color rgb="FF000000"/>
        <rFont val="Predator"/>
      </rPr>
      <t xml:space="preserve"> </t>
    </r>
    <r>
      <rPr>
        <b/>
        <u/>
        <sz val="12"/>
        <color rgb="FF000000"/>
        <rFont val="Predator"/>
      </rPr>
      <t xml:space="preserve">Type A
</t>
    </r>
    <r>
      <rPr>
        <sz val="12"/>
        <color rgb="FF000000"/>
        <rFont val="Predator"/>
      </rPr>
      <t>USB3.2 (Gen1) (offline charger) x 1
USB3.2 (Gen1) x 2
HDMI x 1
RJ45 x 1
Audio jack (combo) x 1
Speaker x 2
Realtek ALC245
DC-In x 1
K-lock x 1</t>
    </r>
  </si>
  <si>
    <r>
      <rPr>
        <b/>
        <u/>
        <sz val="12"/>
        <color rgb="FF000000"/>
        <rFont val="Predator"/>
      </rPr>
      <t xml:space="preserve">TypeC
</t>
    </r>
    <r>
      <rPr>
        <sz val="12"/>
        <color rgb="FF000000"/>
        <rFont val="Predator"/>
      </rPr>
      <t xml:space="preserve">USB 4*1
</t>
    </r>
    <r>
      <rPr>
        <b/>
        <u/>
        <sz val="12"/>
        <color rgb="FF000000"/>
        <rFont val="Predator"/>
      </rPr>
      <t xml:space="preserve">Type A
</t>
    </r>
    <r>
      <rPr>
        <sz val="12"/>
        <color rgb="FF000000"/>
        <rFont val="Predator"/>
      </rPr>
      <t>USB3.2 (Gen1) (offline charger) x 1
USB3.2 (Gen1) x 2
HDMI x 1
RJ45 x 1
Audio jack (combo) x 1
Speaker x 2
Realtek ALC245
DC-In x 1
K-lock x 1</t>
    </r>
  </si>
  <si>
    <r>
      <t>TypeC
Thunderbolt™ 4*1
Type A
USB 3.2 Gen 2*2 (one with offline charging)
USB 3.2 Gen 1*1</t>
    </r>
    <r>
      <rPr>
        <sz val="12"/>
        <color rgb="FF000000"/>
        <rFont val="Predator"/>
        <family val="3"/>
      </rPr>
      <t xml:space="preserve">
HDMI 2.1*1
microSD™ Card reader*1
3.5mm Combo Audio Jack*1
RJ-45*1
DC-In*1</t>
    </r>
  </si>
  <si>
    <r>
      <t>TypeC</t>
    </r>
    <r>
      <rPr>
        <sz val="12"/>
        <color rgb="FF000000"/>
        <rFont val="Predator"/>
        <family val="3"/>
      </rPr>
      <t xml:space="preserve">
USB 4</t>
    </r>
    <r>
      <rPr>
        <u/>
        <sz val="12"/>
        <color rgb="FF000000"/>
        <rFont val="Predator"/>
        <family val="3"/>
      </rPr>
      <t xml:space="preserve">
Type A
USB 3.2 Gen 2*2 (one with offline charging)
USB 3.2 Gen 1*1</t>
    </r>
    <r>
      <rPr>
        <sz val="12"/>
        <color rgb="FF000000"/>
        <rFont val="Predator"/>
        <family val="3"/>
      </rPr>
      <t xml:space="preserve">
HDMI 2.1*1
microSD™ Card reader*1
3.5mm Combo Audio Jack*1
RJ-45*1
DC-In*1
K-lock*1</t>
    </r>
  </si>
  <si>
    <t>Yes(Haptic pad w/ Haptic, w/ Lighting, w/ Pen support.)</t>
  </si>
  <si>
    <t>3 Zone RGB</t>
  </si>
  <si>
    <t>4 Zone RGB</t>
  </si>
  <si>
    <t>Per-Key Mini LED RGB KB.</t>
  </si>
  <si>
    <t xml:space="preserve"> Blue color backlit KB</t>
  </si>
  <si>
    <t>Blue color</t>
  </si>
  <si>
    <t>Amber color</t>
  </si>
  <si>
    <t>Amber BL KB</t>
  </si>
  <si>
    <t>4 Zone BL color</t>
  </si>
  <si>
    <t>4 zone RGB</t>
  </si>
  <si>
    <t>DTS® X:Ultra
Speaker*4</t>
  </si>
  <si>
    <t>DTS® X:Ultra
Speaker*6</t>
  </si>
  <si>
    <t>Mic</t>
    <phoneticPr fontId="10" type="noConversion"/>
  </si>
  <si>
    <t>3 units</t>
  </si>
  <si>
    <t>2 units</t>
  </si>
  <si>
    <t>FHD 1920 x 1080 IR</t>
    <phoneticPr fontId="10" type="noConversion"/>
  </si>
  <si>
    <t>HD 1280 x 720</t>
  </si>
  <si>
    <t>FHD IR</t>
  </si>
  <si>
    <t>Windows 11 Home
Windows 11 Pro</t>
  </si>
  <si>
    <t>Windows 11</t>
  </si>
  <si>
    <t>RTX 3050: N/A
RTX 4050: 194
GN22-X2: (TBC)
GN22-X4: (TBC)</t>
  </si>
  <si>
    <t>v5.0</t>
  </si>
  <si>
    <t>v5.0.1196</t>
  </si>
  <si>
    <t>3 Month</t>
  </si>
  <si>
    <t>YES</t>
  </si>
  <si>
    <t>A: Aluminum (plastic frame PCR 30%)
B: Plastic
C: Plastic
D: Plastic</t>
  </si>
  <si>
    <t>A: Aluminum Anodized (PCR 30%)
B: Plastic
C: Plastic
D: Plastic</t>
  </si>
  <si>
    <t>A: Aluminum Anodized (PCR 30%)
B: Plastic
C: Plastic
D: Aluminum Anodized (PCR 30%)</t>
  </si>
  <si>
    <t>A: Aluminum
B: Plastic
C: Plastic
D: Plastic(PCR: 30%)</t>
  </si>
  <si>
    <t>A: Aluminum
B: Plastic
C: Plastic
D: Plastic
PCR: 30%</t>
  </si>
  <si>
    <t>A: Aluminum (PCR 30%)
B: Glass
C: Unibody CNC + Glass
D: Aluminum (PCR 30%)</t>
  </si>
  <si>
    <t>A: Aluminum (PCR 30%)
B Plastic
C: Aluminum (PCR 30%)
D: Aluminum (PCR 30%)</t>
  </si>
  <si>
    <r>
      <t>A cover: Metal
B cover: Plastic
C cover: Plastic
D cover: Plastic</t>
    </r>
    <r>
      <rPr>
        <sz val="12"/>
        <color rgb="FF000000"/>
        <rFont val="Predator"/>
      </rPr>
      <t xml:space="preserve">
PCR 35%</t>
    </r>
  </si>
  <si>
    <r>
      <rPr>
        <sz val="12"/>
        <color rgb="FF000000"/>
        <rFont val="Predator"/>
      </rPr>
      <t xml:space="preserve">A cover: Metal
B cover: Plastic
C cover: Plastic
D cover: Metal
</t>
    </r>
    <r>
      <rPr>
        <sz val="12"/>
        <color rgb="FF70AD47"/>
        <rFont val="Predator"/>
      </rPr>
      <t>PCR ? %</t>
    </r>
  </si>
  <si>
    <r>
      <rPr>
        <sz val="12"/>
        <color rgb="FF404040"/>
        <rFont val="Predator"/>
      </rPr>
      <t xml:space="preserve">A cover: Metal
B cover: Plastic
C cover: Plastic
D cover: Plastic
</t>
    </r>
    <r>
      <rPr>
        <sz val="12"/>
        <color rgb="FF000000"/>
        <rFont val="Predator"/>
      </rPr>
      <t>PCR 35%</t>
    </r>
  </si>
  <si>
    <t>A: Plastic
B: Plastic
C: Plastic
D: Plastic (PCR30%)</t>
  </si>
  <si>
    <t>A: Plastic
B: Plastic
C: Plastic
D: Plastic
(PCR&gt;30%)</t>
  </si>
  <si>
    <t>A: Plastic
B: Plastic
C: Plastic
D: Plastic
(PCR 30%)</t>
  </si>
  <si>
    <t>A: Plastic
B: Plastic
C: Plastic
D: Plastic
(PCR35%)</t>
  </si>
  <si>
    <r>
      <rPr>
        <sz val="12"/>
        <color rgb="FF404040"/>
        <rFont val="Predator"/>
      </rPr>
      <t xml:space="preserve">A: Plastic (IMR)&gt;confimed
B cover: P+R
C cover: Plastic
D cover: Plastic
</t>
    </r>
    <r>
      <rPr>
        <sz val="12"/>
        <color rgb="FF404040"/>
        <rFont val="微軟正黑體"/>
        <family val="2"/>
        <charset val="136"/>
      </rPr>
      <t>PCR: No</t>
    </r>
  </si>
  <si>
    <r>
      <rPr>
        <sz val="12"/>
        <color rgb="FF404040"/>
        <rFont val="Predator"/>
      </rPr>
      <t xml:space="preserve">A: Plastic (IMR)&gt;no change
B cover: P+R
C cover: Plastic
D cover: Plastic
</t>
    </r>
    <r>
      <rPr>
        <sz val="12"/>
        <color rgb="FF404040"/>
        <rFont val="微軟正黑體"/>
        <family val="2"/>
        <charset val="136"/>
      </rPr>
      <t xml:space="preserve">PCR: </t>
    </r>
    <r>
      <rPr>
        <sz val="12"/>
        <color rgb="FF404040"/>
        <rFont val="Predator"/>
      </rPr>
      <t>No</t>
    </r>
  </si>
  <si>
    <t>A: Metal
B: Plastic
C: Plastic
D: Metal
(PCR 30%)</t>
  </si>
  <si>
    <t>356.78 x 279.55 x 16.26/ 27.75 mm mm</t>
  </si>
  <si>
    <t xml:space="preserve">323.9 * 254.7 * 11.5 ~ 20.8 mm
claim: 11.5 ~ 20.8 mm </t>
  </si>
  <si>
    <t>B1: 400.96 x 307.9 x 14.9~28.0mm ​
B2: 400.96 x 307.9 x 14.9~25.2mm​</t>
  </si>
  <si>
    <r>
      <rPr>
        <sz val="12"/>
        <color rgb="FF404040"/>
        <rFont val="Predator"/>
      </rPr>
      <t>B1: 356.78 x 275.5 x 12.0~19.9 mm</t>
    </r>
    <r>
      <rPr>
        <sz val="12"/>
        <color rgb="FF404040"/>
        <rFont val="Times New Roman"/>
        <family val="1"/>
      </rPr>
      <t xml:space="preserve">​
</t>
    </r>
    <r>
      <rPr>
        <sz val="12"/>
        <color rgb="FF404040"/>
        <rFont val="Predator"/>
      </rPr>
      <t>B2: 356.78 x 275.5 x 12.0~18.9 mm</t>
    </r>
  </si>
  <si>
    <t>321.79 x 221 x 11.05 ~ 17.31mm</t>
    <phoneticPr fontId="10" type="noConversion"/>
  </si>
  <si>
    <t>355.1 x 251.62 x  18.45~18.96 mm
Claim: 11.5~18.9mm</t>
  </si>
  <si>
    <t>356.78 x 275.5 x 13.5~23.65 mm</t>
  </si>
  <si>
    <t>356.78 x 275.5 x 12.14~19.9 mm</t>
  </si>
  <si>
    <t>400.9 x 310.3 x 15.08~24.95 mm
Claim: 15.0~24.9 mm</t>
  </si>
  <si>
    <t>325.7 x 234 x 19.76-21.9 mm
Claim: 13.9~21.9 mm</t>
  </si>
  <si>
    <t>325.7 x 236.8 x 19.76-21.9 mm
13.9~21.9 mm</t>
  </si>
  <si>
    <t>360.0 * 274.5 * 22.3 ~ 24.5 mm
Claim: 16.1 ~ 24.5 mm</t>
  </si>
  <si>
    <t>360.04 x 275.62 x 22.30-24.50 mm
Claim: 16.1~24.5</t>
  </si>
  <si>
    <t>400.85 x 275.62 x  23.4~24 mm  
Claim: 17.2~24.0 mm</t>
  </si>
  <si>
    <t>357.7 x 264 x 13.9/19.95  mm</t>
  </si>
  <si>
    <t>2.2.65kg</t>
  </si>
  <si>
    <t>1.9 kg</t>
  </si>
  <si>
    <t>3.3kg</t>
  </si>
  <si>
    <t>1.6 kg</t>
  </si>
  <si>
    <t>2.6 kg (TBD)</t>
  </si>
  <si>
    <t>2.41 kg</t>
  </si>
  <si>
    <t>2.18 kg</t>
  </si>
  <si>
    <t>3.02 kg</t>
  </si>
  <si>
    <t>2.4 kg</t>
  </si>
  <si>
    <t>C close</t>
    <phoneticPr fontId="10" type="noConversion"/>
  </si>
  <si>
    <t>12/E</t>
  </si>
  <si>
    <t>2024/12/E</t>
  </si>
  <si>
    <t>4/M/2025</t>
  </si>
  <si>
    <t>2025/1/14 (For RTX3050/4050 only)
RTX5050/5060 FCS is TBD</t>
  </si>
  <si>
    <t>2024/12/9(TBD)</t>
  </si>
  <si>
    <t>Huang, Julia</t>
  </si>
  <si>
    <t>Chiu, Phoebe</t>
  </si>
  <si>
    <t>Li, Ken</t>
  </si>
  <si>
    <t>Wang, Johnson</t>
  </si>
  <si>
    <t>Stanley Kuo</t>
  </si>
  <si>
    <t>Liu, Wade</t>
  </si>
  <si>
    <t>Wang, Jessie</t>
  </si>
  <si>
    <t>Hsu, Scott</t>
  </si>
  <si>
    <t>Johnson Wang</t>
  </si>
  <si>
    <t>Retrieving data. Wait a few seconds and try to cut or copy again.</t>
  </si>
  <si>
    <t>Canceled</t>
  </si>
  <si>
    <t>Cancled</t>
  </si>
  <si>
    <t>ORION 7000</t>
  </si>
  <si>
    <t>ORION 5000</t>
    <phoneticPr fontId="10" type="noConversion"/>
  </si>
  <si>
    <t>ORION 3000</t>
  </si>
  <si>
    <t>Orion 7000</t>
  </si>
  <si>
    <t>Orion 5000</t>
  </si>
  <si>
    <t xml:space="preserve">Nitro 50 </t>
  </si>
  <si>
    <t>Nitro 70</t>
  </si>
  <si>
    <t>Nitro 50</t>
  </si>
  <si>
    <t>Nitro 30 AMD</t>
  </si>
  <si>
    <t>Nitro 30 Intel</t>
  </si>
  <si>
    <t>Nitro 20 Intel</t>
  </si>
  <si>
    <t xml:space="preserve">Nitro 20 AMD </t>
  </si>
  <si>
    <t>Nitro 10 Intel</t>
  </si>
  <si>
    <t xml:space="preserve">Nitro 10 AMD </t>
  </si>
  <si>
    <t>PO7-660</t>
    <phoneticPr fontId="10" type="noConversion"/>
  </si>
  <si>
    <t>PO5-660</t>
    <phoneticPr fontId="10" type="noConversion"/>
  </si>
  <si>
    <t>PO3-660</t>
    <phoneticPr fontId="10" type="noConversion"/>
  </si>
  <si>
    <t>PO7-665_Z890</t>
  </si>
  <si>
    <t>PO5-665_B860</t>
  </si>
  <si>
    <t>PO5-667_B860</t>
  </si>
  <si>
    <t>PO3-665 (H810)</t>
  </si>
  <si>
    <t>N50-660</t>
  </si>
  <si>
    <t>N70X3D-100</t>
    <phoneticPr fontId="10" type="noConversion"/>
  </si>
  <si>
    <t>N50-100</t>
    <phoneticPr fontId="10" type="noConversion"/>
  </si>
  <si>
    <t>N30-100</t>
    <phoneticPr fontId="10" type="noConversion"/>
  </si>
  <si>
    <t>N30-100</t>
  </si>
  <si>
    <t>N20-100</t>
  </si>
  <si>
    <t>N10-100</t>
  </si>
  <si>
    <t>N20-101-RPL</t>
  </si>
  <si>
    <t>N20-101</t>
  </si>
  <si>
    <t>N10-101-RPL</t>
  </si>
  <si>
    <t>N10-101</t>
  </si>
  <si>
    <t>Agera</t>
    <phoneticPr fontId="10" type="noConversion"/>
  </si>
  <si>
    <t>ArteonR</t>
    <phoneticPr fontId="10" type="noConversion"/>
  </si>
  <si>
    <t>AndreyR</t>
  </si>
  <si>
    <t>N70X3D-100</t>
  </si>
  <si>
    <t>TC101</t>
  </si>
  <si>
    <t>XC101</t>
  </si>
  <si>
    <t>Predator CycloneX 360</t>
  </si>
  <si>
    <t>100% glass side panel bundle
Fan/light bar aRGB</t>
  </si>
  <si>
    <t>10W wireless charging pad</t>
    <phoneticPr fontId="10" type="noConversion"/>
  </si>
  <si>
    <t>Nitro CycloneX 360
Nitro CycloneX 360 + CPU Liquid Cooling</t>
  </si>
  <si>
    <t>Nitro CycloneX 360</t>
  </si>
  <si>
    <t>Copilot+ PC
Fingerprint Power On
(only on AMD Ryzen AI 300 Series)</t>
  </si>
  <si>
    <t>Intel® Core Ultra 9 285K
Intel® Core Ultra 7 265KF</t>
    <phoneticPr fontId="10" type="noConversion"/>
  </si>
  <si>
    <t>Intel® Core Ultra 7 265F
Intel® Core Ultra 5 225F</t>
  </si>
  <si>
    <t>Intel® Core Ultra 9 285K
Intel® Core Ultra 7 265KF</t>
  </si>
  <si>
    <t>Intel® Core™ Ultra 7 processor 265F
Intel® Core™ Ultra 5 processor 225F</t>
  </si>
  <si>
    <t>AMD Ryzen™ 9 9950X3D
AMD Ryzen™ 9 9900X3D
AMD Ryzen™ 7 9800X3D</t>
    <phoneticPr fontId="10" type="noConversion"/>
  </si>
  <si>
    <t>AMD Ryzen™ 7 8700G
AMD Ryzen™ 5 8500G
AMD Ryzen™ 3 8300G</t>
    <phoneticPr fontId="10" type="noConversion"/>
  </si>
  <si>
    <t xml:space="preserve">13th Gen Intel® Core™ i5-13420H processor </t>
  </si>
  <si>
    <t>AMD RyzenTM AI 9 processor 365 processor (Strix Point)
AMD RyzenTM AI 7 350 processor (Krackan Point)</t>
  </si>
  <si>
    <t>AMD RyzenTM AI 9 processor (Strix Point)
AMD RyzenTM AI 7 processor (Krackan Point)</t>
  </si>
  <si>
    <t>Intel® B860 Chipset</t>
  </si>
  <si>
    <t xml:space="preserve">AMD B850 Chipset </t>
  </si>
  <si>
    <t>R99950X3D: 170W
R99900X3D: 120W
R79800X3D: 120W</t>
  </si>
  <si>
    <t>28W</t>
  </si>
  <si>
    <t>CPU: 13.6 TOPs
NPU: 13.1 TOPs
Embeded GPU: 9 TOPs
Total 36 TOPs</t>
  </si>
  <si>
    <t>R7 8700G Total 16 TOPS</t>
  </si>
  <si>
    <r>
      <rPr>
        <sz val="12"/>
        <color rgb="FF404040"/>
        <rFont val="Predator"/>
      </rPr>
      <t>NVIDIA® GeForce RTX™ 5090 32 GB 
NVIDIA® GeForce RTX™ 5080 16 GB 
NVIDIA® GeForce RTX™ 4090 24 GB
NVIDIA® GeForce RTX™ 4080 SUPE</t>
    </r>
    <r>
      <rPr>
        <sz val="12"/>
        <color rgb="FF000000"/>
        <rFont val="Predator"/>
      </rPr>
      <t xml:space="preserve">R 16 GB </t>
    </r>
    <phoneticPr fontId="10" type="noConversion"/>
  </si>
  <si>
    <t>NVIDIA® GeForce RTX™ 5090 32 GB
NVIDIA® GeForce RTX™ 5080 16 GB
NVIDIA® GeForce RTX™ 5070 12 GB
NVIDIA® GeForce RTX™ 4080 S 16 GB
NVIDIA® GeForce RTX™ 4070 S 12 GB</t>
  </si>
  <si>
    <t>NVIDIA® GeForce RTX™ 5070 12 GB
NVIDIA® GeForce RTX™ 4070 SUPER 12 GB
NVIDIA® GeForce RTX™ 4060 8 GB</t>
    <phoneticPr fontId="10" type="noConversion"/>
  </si>
  <si>
    <t>NVIDIA® GeForce RTX™ 5080 16 GB
NVIDIA® GeForce RTX™ 5070 12 GB</t>
  </si>
  <si>
    <t>NVIDIA® GeForce RTX™ 5070 12 GB
NVIDIA® GeForce RTX™ 4060 8 GB
NVIDIA® GeForce RTX™ 3050 8 GB</t>
  </si>
  <si>
    <t>NVIDIA® GeForce RTX™ 5070 12 GB
AMD Radeon™ RX 9070 XT
AMD Radeon™ RX 9060 XT</t>
  </si>
  <si>
    <t xml:space="preserve">NVIDIA® GeForce RTX™ 5070 12 GB
Up to AMD Radeon™ RX 9070 XT </t>
  </si>
  <si>
    <t xml:space="preserve">
NVIDIA® GeForce RTX™ 5060 8 GB
NVIDIA® GeForce RTX™ 3050 6 GB</t>
  </si>
  <si>
    <t>RTX 5090: 575W
RTX 5080: 360W
RTX 4090 : 450W
RTX 4080 SUPER : 320W</t>
  </si>
  <si>
    <t>RTX 5090: 575W
RTX 5080: 360W
RTX 4080 SUPER: 320W
RTX 4070 SUPER : 220W</t>
  </si>
  <si>
    <t>RTX 5070
RTX 4070 SUPER: 220W
RTX 4060: 115W</t>
  </si>
  <si>
    <t>RTX 5080: 360W
RTX 5070: 250W</t>
  </si>
  <si>
    <t>RTX 5070</t>
  </si>
  <si>
    <t>RTX 5070 ?W
RTX 4060: 115W
RTX 3050: 120W</t>
  </si>
  <si>
    <t>RTX 5060: 145W
RTX 3050: 70W</t>
  </si>
  <si>
    <t>RTX 5090: 3352 TOPS
RTX 5080: 1801 TOPS
RTX 4090 : 1321 TOPS
RTX 4080 Super: 836 TOPS</t>
  </si>
  <si>
    <t>RTX 5090: 3352 TOPS
RTX 5080: 1801 TOPS
RTX 5070: 988 TOPS
RTX 4080 SUPER : 836 TOPS
RTX 4070 SUPER : 568 TOPS</t>
  </si>
  <si>
    <t>RTX 5070: 988 TOPS
RTX 4070 SUPER : 568 TOPS
RTX 4060: 242 TOPS</t>
  </si>
  <si>
    <t>RTX 5080: 1801 TOPS
RTX 5070: 988 TOPS</t>
  </si>
  <si>
    <t>RTX 5070: 988 TOPS</t>
  </si>
  <si>
    <t>RTX 5070: 988 TOPS
RTX 4060: 242 TOPS</t>
  </si>
  <si>
    <t>RTX 5060:  ?TOPS</t>
  </si>
  <si>
    <t>CycloneX 360 [ARGB] + Liquid Cooling [ARGB]</t>
    <phoneticPr fontId="10" type="noConversion"/>
  </si>
  <si>
    <t>AIR Cooling (120mm aRGB Fan)</t>
  </si>
  <si>
    <t>AIR Cooling (90mm aRGB Fan)</t>
  </si>
  <si>
    <t>AIR Cooling (90mm Fan)</t>
  </si>
  <si>
    <t>AIR Cooling</t>
    <phoneticPr fontId="10" type="noConversion"/>
  </si>
  <si>
    <t>GPU Fan</t>
  </si>
  <si>
    <t>Front: CycloneX 360 x 1 [ARGB]
Rear: System fan</t>
    <phoneticPr fontId="10" type="noConversion"/>
  </si>
  <si>
    <t>CycloneX 360 [ARGB]</t>
  </si>
  <si>
    <t>FrostBlade 3.0
Support aRGB Fan</t>
  </si>
  <si>
    <t>120mm system fans</t>
  </si>
  <si>
    <t>90 mm System fans</t>
  </si>
  <si>
    <t>32/16 GB DDR5 6000MT/s RGB XMP RGB
Up to 128 GB [32GB*4] of Dual-channel DDR5 6000 MT/s</t>
  </si>
  <si>
    <t>32/16 GB DDR5 5600 MT/s RGB
32/16 GB DDR5 6000XMP MT/s RGB
16 GB DDR5 5600 MT/s
16 GB DDR5 6000XMP MT/s
Up to 128 GB [32GB*4] of Dual-channel DDR5 MHz</t>
  </si>
  <si>
    <t>16/8 GB DDR5 5600 MHz UDIMM
Up to 32 GB of Dual-channel DDR5 5600 MHz</t>
  </si>
  <si>
    <t>32/16 GB DDR5 6000MTs XMP RGB
Up to 128 GB [32GB*4]</t>
  </si>
  <si>
    <t>32/16 GB DDR5 5600 MTs RGB
Up to 128 GB [32GB*4]</t>
  </si>
  <si>
    <t>32/16 GB DDR5 7200MTs XMP RGB
Up to 128 GB [32GB*4]</t>
  </si>
  <si>
    <t>32/16 GB DDR5 7200 MTs XMP RGB
Up to 128 GB [32GB*4]</t>
  </si>
  <si>
    <t>16/8 GB DDR5 5600 MT/s UDIMM
Up to 32 GB of Dual-channel DDR5 5600 MT/s</t>
  </si>
  <si>
    <t>Up to 32 GB of Dual-channel DDR5 5600 MT/s</t>
  </si>
  <si>
    <t>32/16 GB DDR5 6000 MT/s XMP RGB
Up to 128 GB [32GB*4]</t>
  </si>
  <si>
    <t>32/16 GB DDR5 5200 MT/s RGB RGB
Up to 128 GB [32GB*4]</t>
  </si>
  <si>
    <t>16/8 GB DDR5 5600 MT/s UDIMM
Up to 32 GB of Dual-channel DDR5 5600 MHz</t>
  </si>
  <si>
    <t>Up to 32 GB of Dual-channel DDR4 3200 MT/s</t>
  </si>
  <si>
    <t>Up to 2TB NVMe M.2 PCIe SSD
PICe Gen 4 x 2</t>
  </si>
  <si>
    <t>Up to 6TB SSD storage
PCIe Gen 5 NVMe M.2 SSD x 1
PCIe Gen 4 NVMe M.2 SSD x 2</t>
  </si>
  <si>
    <t>Up to 2TB NVMe M.2 PCIe SSD
PCIe Gen 5 NVMe M.2 SSD x 1
PCIe Gen 4 NVMe M.2 SSD x 1</t>
  </si>
  <si>
    <t>Up to 1 TB M.2 2280 PCI-e Gen4 SSD
PCIe Gen 4 x 2</t>
  </si>
  <si>
    <t>Up to 1TB M.2 2280 PCI-e Gen4 SSD</t>
  </si>
  <si>
    <t>Up to 4 TB HDD storage
3.5” HDD x 2
2.5” HDD x 2</t>
  </si>
  <si>
    <t>Up to 4 TB 
3.5-inch x 2
2.5-inch x 2</t>
  </si>
  <si>
    <t>Up to 2TB 7200 RPM HDD
3.5-inch x 1</t>
  </si>
  <si>
    <t>Killer™ Ethernet E2600G</t>
  </si>
  <si>
    <t>RealTek Dragon RTL8118AS</t>
  </si>
  <si>
    <t>Realtek 8125BG</t>
  </si>
  <si>
    <t>Up to WiFi 7</t>
  </si>
  <si>
    <t>1200W</t>
  </si>
  <si>
    <t>800W</t>
  </si>
  <si>
    <t>500 W PFC, auto-sensing, 80PLUS® Gold, TFX
750 W PFC, 80PLUS® Gold, ATX (TBD)</t>
  </si>
  <si>
    <t>850W</t>
  </si>
  <si>
    <t>500 W PFC, auto-sensing, 80PLUS® Gold, ATX</t>
  </si>
  <si>
    <t>500 W</t>
  </si>
  <si>
    <t>200 W</t>
  </si>
  <si>
    <t>400 W</t>
  </si>
  <si>
    <r>
      <rPr>
        <u/>
        <sz val="12"/>
        <color rgb="FF000000"/>
        <rFont val="Predator"/>
      </rPr>
      <t xml:space="preserve">Front/Front I/O connectors
</t>
    </r>
    <r>
      <rPr>
        <sz val="12"/>
        <color rgb="FF000000"/>
        <rFont val="Predator"/>
      </rPr>
      <t xml:space="preserve">• USB 3.2 Gen1 5Gbps Type A port(s): 3
• USB 3.2 Gen1 5Gbps Type C port(s): 1
</t>
    </r>
    <r>
      <rPr>
        <u/>
        <sz val="12"/>
        <color rgb="FF000000"/>
        <rFont val="Predator"/>
      </rPr>
      <t xml:space="preserve">
Rear I/O connectors
</t>
    </r>
    <r>
      <rPr>
        <sz val="12"/>
        <color rgb="FF000000"/>
        <rFont val="Predator"/>
      </rPr>
      <t>• LAN port(s): 1
• Audio jack(s): 3 [line in, audio out, mic]
• USB 2.0 Type A port(s): 2
• USB 3.2 Gen2 10Gbps Type A port(s): 3
• Thunderbolt 4: 1</t>
    </r>
  </si>
  <si>
    <t>Front/Side I/O connectors
• USB 3.2 Gen1 5Gbps Type A port(s): 3
• USB 3.2 Gen1 5Gbps Type C port(s): 1
Rear I/O connectors
• LAN port(s): 1
• Audio jack(s): 3 [line in, audio out, mic]
• USB 2.0 Type A port(s): 4
• USB 3.2 Gen2 10Gbps Type A port(s): 1</t>
  </si>
  <si>
    <r>
      <rPr>
        <u/>
        <sz val="11"/>
        <color rgb="FF000000"/>
        <rFont val="Predator"/>
      </rPr>
      <t xml:space="preserve">Front/Side I/O connectors
</t>
    </r>
    <r>
      <rPr>
        <sz val="11"/>
        <color rgb="FF000000"/>
        <rFont val="Predator"/>
      </rPr>
      <t>• Audio jack(s):</t>
    </r>
    <r>
      <rPr>
        <sz val="11"/>
        <color rgb="FFFF0000"/>
        <rFont val="Predator"/>
      </rPr>
      <t xml:space="preserve"> </t>
    </r>
    <r>
      <rPr>
        <sz val="11"/>
        <color rgb="FF000000"/>
        <rFont val="Predator"/>
      </rPr>
      <t>1</t>
    </r>
    <r>
      <rPr>
        <sz val="11"/>
        <color rgb="FFFF0000"/>
        <rFont val="Predator"/>
      </rPr>
      <t xml:space="preserve"> </t>
    </r>
    <r>
      <rPr>
        <sz val="11"/>
        <color rgb="FF000000"/>
        <rFont val="Predator"/>
      </rPr>
      <t xml:space="preserve">(headphone + mic, mic)
• USB 3.2 Gen2 10Gbps Type A port(s): 2
• USB 3.2 Gen2x2 20Gbps Type C port(s): 1
</t>
    </r>
    <r>
      <rPr>
        <u/>
        <sz val="11"/>
        <color rgb="FF000000"/>
        <rFont val="Predator"/>
      </rPr>
      <t xml:space="preserve">
Rear I/O connectors
</t>
    </r>
    <r>
      <rPr>
        <sz val="11"/>
        <color rgb="FF000000"/>
        <rFont val="Predator"/>
      </rPr>
      <t>• LAN port(s): 1
• Audio jack(s): 3 [line in, audio out, mic]
• USB 2.0 Type A port(s): 4
• USB 3.2 Gen1 5Gbps Type A port(s): 2</t>
    </r>
  </si>
  <si>
    <t>Front/Front I/O connectors
• USB 3.2 Gen1 5Gbps Type A port(s): 2
• USB 3.2 Gen1 5Gbps Type C port(s): 1
Audio jack(s): 1 (headphone + mic, mic)
Rear I/O connectors
• LAN port(s): 1
• Audio jack(s): 3 [line in, audio out, mic]
• USB 2.0 Type A port(s): 4
• USB 3.2 Gen2 10Gbps Type A port(s): 1</t>
  </si>
  <si>
    <r>
      <rPr>
        <u/>
        <sz val="11"/>
        <color rgb="FF404040"/>
        <rFont val="Predator"/>
      </rPr>
      <t xml:space="preserve">Front/Side I/O connectors
</t>
    </r>
    <r>
      <rPr>
        <sz val="11"/>
        <color rgb="FF404040"/>
        <rFont val="Predator"/>
      </rPr>
      <t xml:space="preserve">• Card reader: N
• Audio jack(s): 2
• USB 3.2 Gen2 10Gbps Type A port(s): 2
• USB 3.2 Gen2x2 20Gbps Type C port(s): 1
</t>
    </r>
    <r>
      <rPr>
        <u/>
        <sz val="11"/>
        <color rgb="FF404040"/>
        <rFont val="Predator"/>
      </rPr>
      <t xml:space="preserve">Rear I/O connectors
</t>
    </r>
    <r>
      <rPr>
        <sz val="11"/>
        <color rgb="FF404040"/>
        <rFont val="Predator"/>
      </rPr>
      <t>• LAN port(s): 1
• Audio jack(s): 3
• USB 3.2 Gen 2 Type A:  1
• USB 3.2 Gen1 5Gbps Type A port(s): 2</t>
    </r>
  </si>
  <si>
    <r>
      <t>Front/Front I/O connectors</t>
    </r>
    <r>
      <rPr>
        <sz val="12"/>
        <color rgb="FF000000"/>
        <rFont val="Predator"/>
      </rPr>
      <t xml:space="preserve">
• USB 3.2 Gen1 5Gbps Type A port(s): 2
• USB 3.2 Gen1 5Gbps Type C port(s): 1
Audio jack(s): 1 (headphone + mic, mic)</t>
    </r>
    <r>
      <rPr>
        <u/>
        <sz val="12"/>
        <color rgb="FF000000"/>
        <rFont val="Predator"/>
      </rPr>
      <t xml:space="preserve">
Rear I/O connectors</t>
    </r>
    <r>
      <rPr>
        <sz val="12"/>
        <color rgb="FF000000"/>
        <rFont val="Predator"/>
      </rPr>
      <t xml:space="preserve">
• LAN port(s): 1
• Audio jack(s): 3 [line in, audio out, mic]
• USB 2.0 Type A port(s): 2
• USB 3.2 Gen2 10Gbps Type A port(s): 2
• USB 3.2 Gen2 10Gbps Type C port[s]: 1</t>
    </r>
  </si>
  <si>
    <t>Front/Side I/O connectors
• Card reader: N
• Audio jack(s): 2
• USB 2.0 Type A port(s): 2
• USB 3.2 Gen1 5Gbps Type A port(s): 2
• USB 3.2 Gen1 5Gbps Type C port(s): 1
Rear I/O connectors
• D-Sub port(s): 1
• HDMI port(s): 1
• COM port(s): 1
• LAN port(s): 2
• Audio jack(s): 2
• USB 2.0 Type A port(s): 2
• USB 3.2 Gen2 10Gbps Type A port(s): 2</t>
  </si>
  <si>
    <t>Front/Side I/O connectors
• Card reader: N
• Audio jack(s): 2
• USB 2.0 Type A port(s): 2
• USB 3.2 Gen1 5Gbps Type A port(s): 2
• USB 3.2 Gen1 5Gbps Type C port(s): 1
Rear I/O connectors
• D-Sub port(s): 1
• HDMI port(s): 1
• COM port(s): 1
• LAN port(s): 1
• Audio jack(s): 2
• USB 2.0 Type A port(s): 2
• USB 3.2 Gen2 10Gbps Type A port(s): 2</t>
  </si>
  <si>
    <t>Front/Side I/O connectors
• Card reader: N
• Audio jack(s): 1
• USB 2.0 Type A port(s): 2
• USB 3.2 Gen1 5Gbps Type A port(s): 2
• USB 3.2 Gen1 5Gbps Type C port(s): 1
Rear I/O connectors
• D-Sub port(s): 1
• HDMI port(s): 1
• DP port(s): 1
• LAN port(s): 1
• Audio jack(s): 2
• USB 2.0 Type A port(s): 2
• USB 3.2 Gen2 10Gbps Type A port(s): 2</t>
  </si>
  <si>
    <t>M.2 SSD x 1 (emply slot, up to 4 TB)</t>
    <phoneticPr fontId="10" type="noConversion"/>
  </si>
  <si>
    <t>PCIe Gen 5 x16 slot: 1
PCIe M.2 WLAN slot: 1
PCIe Gen 5 x4 M.2 SSD slot: 1
PCIe Gen 4 x4 M.2 SSD slot: 2</t>
    <phoneticPr fontId="10" type="noConversion"/>
  </si>
  <si>
    <t>•PCIe x16 slot(s): 1
• PCIe x1 slot(s): 1
• M.2 slot (for SSD): 2
• M.2 slot (for WLAN): 1</t>
    <phoneticPr fontId="10" type="noConversion"/>
  </si>
  <si>
    <t>PCIe Gen 5 x16 slot: 1
PCIe M.2 WLAN slot: 1
PCIe Gen 4 x4 M.2 SSD slot: 2</t>
  </si>
  <si>
    <t>2 x 3.5” SATA3 6.0Gb/s HDD connector
2 x 2.5” SATA3 6.0Gb/s SSD connector</t>
  </si>
  <si>
    <t>2 x 3.5” SATA3 6.0Gb/s HDD connector (up to 2TB/each)</t>
    <phoneticPr fontId="10" type="noConversion"/>
  </si>
  <si>
    <t>Windows 11 Home 64-bit.
UEFI Shell</t>
    <phoneticPr fontId="10" type="noConversion"/>
  </si>
  <si>
    <t>v4.0</t>
  </si>
  <si>
    <t>v4.0</t>
    <phoneticPr fontId="10" type="noConversion"/>
  </si>
  <si>
    <t>85% [Plastic Part]</t>
  </si>
  <si>
    <t>219 (W) x 504.8 (D) x 485 (H) mm</t>
  </si>
  <si>
    <t>219 (W) x 482 (D) x 485 (H) mm</t>
  </si>
  <si>
    <t>175 (W) x 377 (D) x 385 (H) mm</t>
  </si>
  <si>
    <t>216.4 (W) x 489.34 (D) x 513.1 (H) mm</t>
  </si>
  <si>
    <t>190 (W) x 438 (D) x 378 (H) mm</t>
  </si>
  <si>
    <t>175 (W) x 386 (D) x 392 (H) mm</t>
  </si>
  <si>
    <t>170 (W) x 300 (D) x 355 (H) mm</t>
  </si>
  <si>
    <t>100 (W) x 300 (D) x 280 (H) mm</t>
  </si>
  <si>
    <t xml:space="preserve">25kg </t>
  </si>
  <si>
    <t>25kg</t>
  </si>
  <si>
    <t xml:space="preserve">30kg </t>
  </si>
  <si>
    <t>30kg</t>
  </si>
  <si>
    <t>7.4kg</t>
    <phoneticPr fontId="10" type="noConversion"/>
  </si>
  <si>
    <t>38L</t>
  </si>
  <si>
    <t>18L</t>
    <phoneticPr fontId="10" type="noConversion"/>
  </si>
  <si>
    <t>28L</t>
  </si>
  <si>
    <t>8L</t>
  </si>
  <si>
    <t>Q4/2025</t>
  </si>
  <si>
    <t>5/E/2025</t>
  </si>
  <si>
    <t>3/E/2025</t>
  </si>
  <si>
    <t>6/E/2025</t>
  </si>
  <si>
    <t>Su, Sarah</t>
  </si>
  <si>
    <t>Callen</t>
  </si>
  <si>
    <t>Kirt, Zhang</t>
  </si>
  <si>
    <t>Koa</t>
  </si>
  <si>
    <t xml:space="preserve"> Callen Chao</t>
  </si>
  <si>
    <t>Seg</t>
    <phoneticPr fontId="10" type="noConversion"/>
  </si>
  <si>
    <t>Size</t>
    <phoneticPr fontId="10" type="noConversion"/>
  </si>
  <si>
    <t>GPU</t>
  </si>
  <si>
    <t>Detail</t>
    <phoneticPr fontId="10" type="noConversion"/>
  </si>
  <si>
    <t>Project PM</t>
  </si>
  <si>
    <t>BM owner</t>
    <phoneticPr fontId="10" type="noConversion"/>
  </si>
  <si>
    <t>ODM</t>
  </si>
  <si>
    <t>CPU</t>
  </si>
  <si>
    <t>Model name</t>
  </si>
  <si>
    <t>Marketing name</t>
  </si>
  <si>
    <t>FCS[Nov 11 update]</t>
    <phoneticPr fontId="10" type="noConversion"/>
  </si>
  <si>
    <t>PR Announce</t>
  </si>
  <si>
    <t>BM Focus</t>
    <phoneticPr fontId="10" type="noConversion"/>
  </si>
  <si>
    <t>Helios</t>
  </si>
  <si>
    <t>B1</t>
  </si>
  <si>
    <t>RTX 5080, 5090/175W/16GB/GDDR7/Jan</t>
    <phoneticPr fontId="10" type="noConversion"/>
  </si>
  <si>
    <t>Vantage_ARX</t>
    <phoneticPr fontId="10" type="noConversion"/>
  </si>
  <si>
    <t>Albert</t>
  </si>
  <si>
    <t>Jackson</t>
    <phoneticPr fontId="10" type="noConversion"/>
  </si>
  <si>
    <t>Quanta</t>
  </si>
  <si>
    <t>Arrow Lake-HX</t>
  </si>
  <si>
    <t>PH18-73</t>
    <phoneticPr fontId="10" type="noConversion"/>
  </si>
  <si>
    <t>X9, Mar 31, 2025
X11, May 23, 2025</t>
    <phoneticPr fontId="10" type="noConversion"/>
  </si>
  <si>
    <t>CES</t>
  </si>
  <si>
    <t>Emira_ARX</t>
    <phoneticPr fontId="10" type="noConversion"/>
  </si>
  <si>
    <t>Julia</t>
  </si>
  <si>
    <t>Andy</t>
    <phoneticPr fontId="10" type="noConversion"/>
  </si>
  <si>
    <t>Predator Helios 16 AI</t>
    <phoneticPr fontId="10" type="noConversion"/>
  </si>
  <si>
    <t>Helios Neo</t>
  </si>
  <si>
    <t>RTX 5070Ti, 5080, 5090/175W/16GB/GDDR7/Jan</t>
    <phoneticPr fontId="10" type="noConversion"/>
  </si>
  <si>
    <t>iX1_ARX</t>
    <phoneticPr fontId="10" type="noConversion"/>
  </si>
  <si>
    <t>Johnson</t>
  </si>
  <si>
    <t>B1: Apr 11, 2025
B2 Jun 6, 2025</t>
    <phoneticPr fontId="10" type="noConversion"/>
  </si>
  <si>
    <t>IEM Katowice</t>
  </si>
  <si>
    <t>B2</t>
  </si>
  <si>
    <t>RTX 5070, 5060, 5050/140W/8GB/GDDR7/Feb</t>
    <phoneticPr fontId="10" type="noConversion"/>
  </si>
  <si>
    <t>RTX 5070Ti/175W/16GB/GDDR7/Jan</t>
    <phoneticPr fontId="10" type="noConversion"/>
  </si>
  <si>
    <t>Macan_ARX</t>
    <phoneticPr fontId="10" type="noConversion"/>
  </si>
  <si>
    <t>Ken</t>
  </si>
  <si>
    <t>X7: Mar 31, 2025
X4: May 29, 2025</t>
    <phoneticPr fontId="10" type="noConversion"/>
  </si>
  <si>
    <t>PA [Costco], EMEA</t>
    <phoneticPr fontId="10" type="noConversion"/>
  </si>
  <si>
    <t>16 Slim</t>
    <phoneticPr fontId="10" type="noConversion"/>
  </si>
  <si>
    <t>B1/B2</t>
    <phoneticPr fontId="10" type="noConversion"/>
  </si>
  <si>
    <t>RTX 5070, 5060, 5050/140W/8GB/GDDR7/Feb</t>
  </si>
  <si>
    <t>FTYPE_ARX</t>
    <phoneticPr fontId="10" type="noConversion"/>
  </si>
  <si>
    <t>Johnson</t>
    <phoneticPr fontId="10" type="noConversion"/>
  </si>
  <si>
    <t>Sherry</t>
    <phoneticPr fontId="10" type="noConversion"/>
  </si>
  <si>
    <r>
      <t xml:space="preserve">X7: Mar 31, 2025
</t>
    </r>
    <r>
      <rPr>
        <sz val="12"/>
        <color theme="1" tint="0.249977111117893"/>
        <rFont val="Predator"/>
      </rPr>
      <t>X4: Apr 30, 2025</t>
    </r>
    <phoneticPr fontId="10" type="noConversion"/>
  </si>
  <si>
    <t>PAP, PA [BBY]</t>
    <phoneticPr fontId="10" type="noConversion"/>
  </si>
  <si>
    <t>Panamera_ARH</t>
    <phoneticPr fontId="10" type="noConversion"/>
  </si>
  <si>
    <t>Phoebe</t>
  </si>
  <si>
    <t>Compal</t>
  </si>
  <si>
    <t>Arrow Lake-H</t>
  </si>
  <si>
    <t>PHN14-71</t>
    <phoneticPr fontId="10" type="noConversion"/>
  </si>
  <si>
    <t>Predator Helios Neo 14 AI</t>
  </si>
  <si>
    <t>Computex</t>
  </si>
  <si>
    <t>PA</t>
    <phoneticPr fontId="10" type="noConversion"/>
  </si>
  <si>
    <t>Triton</t>
  </si>
  <si>
    <t>Mulliner_LNV</t>
    <phoneticPr fontId="10" type="noConversion"/>
  </si>
  <si>
    <t>Lunar lake -MX</t>
  </si>
  <si>
    <t>Predator Triton 14 AI</t>
  </si>
  <si>
    <t>PA, PAP, EMEA</t>
    <phoneticPr fontId="10" type="noConversion"/>
  </si>
  <si>
    <t>Triton Neo</t>
  </si>
  <si>
    <t>Cybertruck_ARH</t>
  </si>
  <si>
    <t>Stanley</t>
  </si>
  <si>
    <t>PTN16-71</t>
  </si>
  <si>
    <t>Predator Triton Neo 16 AI</t>
  </si>
  <si>
    <t>DROP</t>
    <phoneticPr fontId="10" type="noConversion"/>
  </si>
  <si>
    <t>Nitro</t>
  </si>
  <si>
    <t>B2 (Intel)</t>
  </si>
  <si>
    <t>EV9_ARX</t>
    <phoneticPr fontId="10" type="noConversion"/>
  </si>
  <si>
    <t>AN16-74</t>
  </si>
  <si>
    <r>
      <rPr>
        <sz val="12"/>
        <color rgb="FFFF33CC"/>
        <rFont val="Predator"/>
      </rPr>
      <t>B1</t>
    </r>
    <r>
      <rPr>
        <sz val="12"/>
        <color theme="1" tint="0.249977111117893"/>
        <rFont val="Predator"/>
      </rPr>
      <t>/B2</t>
    </r>
    <phoneticPr fontId="10" type="noConversion"/>
  </si>
  <si>
    <t>EV9_SKF</t>
    <phoneticPr fontId="10" type="noConversion"/>
  </si>
  <si>
    <t>Wade</t>
  </si>
  <si>
    <t>Strix Point-HS
Krackan Point-HS</t>
    <phoneticPr fontId="10" type="noConversion"/>
  </si>
  <si>
    <t>AN16-61</t>
    <phoneticPr fontId="10" type="noConversion"/>
  </si>
  <si>
    <t>B1: Jul 8, 2025
B2: Jun 23, 2025</t>
    <phoneticPr fontId="10" type="noConversion"/>
  </si>
  <si>
    <t>NV B2 Embargo</t>
    <phoneticPr fontId="10" type="noConversion"/>
  </si>
  <si>
    <t>EV3_SKF</t>
    <phoneticPr fontId="10" type="noConversion"/>
  </si>
  <si>
    <t>AN16S-61</t>
    <phoneticPr fontId="10" type="noConversion"/>
  </si>
  <si>
    <t>Acer Nitro 16S AI</t>
  </si>
  <si>
    <t>B1: Jul 13, 2025
B2: Jun 27, 2025</t>
    <phoneticPr fontId="10" type="noConversion"/>
  </si>
  <si>
    <t>PAP, PA, EMEA</t>
    <phoneticPr fontId="10" type="noConversion"/>
  </si>
  <si>
    <t>GLC</t>
  </si>
  <si>
    <t>AN18-71</t>
  </si>
  <si>
    <t>Acer Nitro 18 AI</t>
    <phoneticPr fontId="10" type="noConversion"/>
  </si>
  <si>
    <t>GLC_SKF</t>
    <phoneticPr fontId="10" type="noConversion"/>
  </si>
  <si>
    <t>B1: Aug 13, 2025
B2 Jun 23, 2025</t>
    <phoneticPr fontId="10" type="noConversion"/>
  </si>
  <si>
    <t>SU7</t>
  </si>
  <si>
    <t>Raptor Lake-H-R</t>
  </si>
  <si>
    <t>ANV17-71</t>
  </si>
  <si>
    <t>Acer Nitro V 17</t>
    <phoneticPr fontId="10" type="noConversion"/>
  </si>
  <si>
    <t>B3 (Intel)</t>
  </si>
  <si>
    <t>RTX 4050/140W/6GB/GDDR6 ; RTX 3050/95W/6GB/GDDR6 ; RTX 2050/70W/4GB/GDDR6</t>
    <phoneticPr fontId="10" type="noConversion"/>
  </si>
  <si>
    <t>B2 (AMD)</t>
  </si>
  <si>
    <t>SU7_SKF</t>
  </si>
  <si>
    <r>
      <rPr>
        <strike/>
        <sz val="12"/>
        <color rgb="FFFF5050"/>
        <rFont val="Predator"/>
      </rPr>
      <t xml:space="preserve">Strix Point-HS
</t>
    </r>
    <r>
      <rPr>
        <sz val="12"/>
        <color rgb="FFFF5050"/>
        <rFont val="Predator"/>
      </rPr>
      <t>Krackan Point-HS</t>
    </r>
  </si>
  <si>
    <t>ANV17-41 [Hawk Point]
ANV17-61 [Krackan Point]</t>
  </si>
  <si>
    <t>Acer Nitro V 17 AI</t>
    <phoneticPr fontId="10" type="noConversion"/>
  </si>
  <si>
    <r>
      <rPr>
        <sz val="12"/>
        <color theme="1" tint="0.249977111117893"/>
        <rFont val="Predator"/>
      </rPr>
      <t>B2: Jun 16, 2025</t>
    </r>
    <r>
      <rPr>
        <sz val="12"/>
        <color rgb="FFFF5050"/>
        <rFont val="Predator"/>
      </rPr>
      <t xml:space="preserve">
B3: Mar 25, 2025</t>
    </r>
    <phoneticPr fontId="10" type="noConversion"/>
  </si>
  <si>
    <t>B3 (AMD)</t>
  </si>
  <si>
    <t>RX_RTH</t>
    <phoneticPr fontId="10" type="noConversion"/>
  </si>
  <si>
    <t>ANV16-72</t>
  </si>
  <si>
    <t>Acer Nitro V 16</t>
    <phoneticPr fontId="10" type="noConversion"/>
  </si>
  <si>
    <t>B2: May 30, 2025</t>
    <phoneticPr fontId="10" type="noConversion"/>
  </si>
  <si>
    <t>IFA</t>
    <phoneticPr fontId="10" type="noConversion"/>
  </si>
  <si>
    <t>B3 (Intel)
[TBD]</t>
    <phoneticPr fontId="10" type="noConversion"/>
  </si>
  <si>
    <t>RTX 4050/140W/6GB/GDDR6 ; RTX 3050/95W/6GB/GDDR6</t>
    <phoneticPr fontId="10" type="noConversion"/>
  </si>
  <si>
    <t>B3 Drop</t>
    <phoneticPr fontId="10" type="noConversion"/>
  </si>
  <si>
    <t>RX_SKF</t>
    <phoneticPr fontId="10" type="noConversion"/>
  </si>
  <si>
    <r>
      <rPr>
        <strike/>
        <sz val="12"/>
        <color rgb="FFFF5050"/>
        <rFont val="Predator"/>
      </rPr>
      <t xml:space="preserve">Strix Point-HS
</t>
    </r>
    <r>
      <rPr>
        <sz val="12"/>
        <color rgb="FFFF5050"/>
        <rFont val="Predator"/>
      </rPr>
      <t>Krackan Point-HS
Hawk Point</t>
    </r>
  </si>
  <si>
    <t>ANV16-42 [Hawk Point]
ANV16-61 [Krackan Point]</t>
  </si>
  <si>
    <t>Acer Nitro V 16 AI</t>
    <phoneticPr fontId="10" type="noConversion"/>
  </si>
  <si>
    <r>
      <rPr>
        <sz val="12"/>
        <color theme="1" tint="0.249977111117893"/>
        <rFont val="Predator"/>
      </rPr>
      <t>B2: Jun 12, 2025</t>
    </r>
    <r>
      <rPr>
        <sz val="12"/>
        <color rgb="FFFF5050"/>
        <rFont val="Predator"/>
      </rPr>
      <t xml:space="preserve">
B3: Feb 27, 2025</t>
    </r>
    <phoneticPr fontId="10" type="noConversion"/>
  </si>
  <si>
    <t>B2</t>
    <phoneticPr fontId="10" type="noConversion"/>
  </si>
  <si>
    <t>RTX 5060, 5050/140W/8GB/GDDR7/Feb</t>
    <phoneticPr fontId="10" type="noConversion"/>
  </si>
  <si>
    <t>BRZ_RTH</t>
    <phoneticPr fontId="10" type="noConversion"/>
  </si>
  <si>
    <t>Raptor Lake-H-R</t>
    <phoneticPr fontId="10" type="noConversion"/>
  </si>
  <si>
    <t>ANV16S-71</t>
    <phoneticPr fontId="10" type="noConversion"/>
  </si>
  <si>
    <t>Acer Nitro V 16S</t>
  </si>
  <si>
    <t>BRZ_SKF</t>
    <phoneticPr fontId="10" type="noConversion"/>
  </si>
  <si>
    <t>Krackan Point-HS</t>
    <phoneticPr fontId="10" type="noConversion"/>
  </si>
  <si>
    <t>ANV16S-41 [Hawk Point]
ANV16S-61 [Krackan Point]</t>
    <phoneticPr fontId="10" type="noConversion"/>
  </si>
  <si>
    <t>B3 (Intel)</t>
    <phoneticPr fontId="10" type="noConversion"/>
  </si>
  <si>
    <t>ANV15-52</t>
    <phoneticPr fontId="10" type="noConversion"/>
  </si>
  <si>
    <t>B2 (AMD)</t>
    <phoneticPr fontId="10" type="noConversion"/>
  </si>
  <si>
    <t>Sportage_HKH</t>
    <phoneticPr fontId="10" type="noConversion"/>
  </si>
  <si>
    <t>Hawk point H</t>
    <phoneticPr fontId="10" type="noConversion"/>
  </si>
  <si>
    <t>ANV15-42</t>
    <phoneticPr fontId="10" type="noConversion"/>
  </si>
  <si>
    <t>Acer Nitro V 15 AI</t>
    <phoneticPr fontId="10" type="noConversion"/>
  </si>
  <si>
    <t>B3 (AMD)</t>
    <phoneticPr fontId="10" type="noConversion"/>
  </si>
  <si>
    <t xml:space="preserve">RTX 4050/140W/6GB/GDDR6 ; RTX 3050/95W/6GB/GDDR6 </t>
    <phoneticPr fontId="10" type="noConversion"/>
  </si>
  <si>
    <t>Enyaq_RTH</t>
    <phoneticPr fontId="10" type="noConversion"/>
  </si>
  <si>
    <t>Jessie</t>
  </si>
  <si>
    <t>Huaqin</t>
  </si>
  <si>
    <t>Acer Nitro V 14</t>
    <phoneticPr fontId="10" type="noConversion"/>
  </si>
  <si>
    <t>Enyaq_SKF</t>
    <phoneticPr fontId="10" type="noConversion"/>
  </si>
  <si>
    <t>Scott</t>
  </si>
  <si>
    <t>ANV14-41 [Hawk Point]
ANV14-62 [Krackan Point]</t>
  </si>
  <si>
    <t>Acer Nitro V 14 AI</t>
  </si>
  <si>
    <r>
      <rPr>
        <sz val="12"/>
        <color theme="1" tint="0.249977111117893"/>
        <rFont val="Predator"/>
      </rPr>
      <t>Krackan Point B2: Jun 3, 2025
Hawk Point B2: Jun 20, 2025</t>
    </r>
    <r>
      <rPr>
        <sz val="12"/>
        <color rgb="FFFF5050"/>
        <rFont val="Predator"/>
      </rPr>
      <t xml:space="preserve">
</t>
    </r>
    <r>
      <rPr>
        <strike/>
        <sz val="12"/>
        <color rgb="FFFF5050"/>
        <rFont val="Predator"/>
      </rPr>
      <t>B3: Feb 24, 2025</t>
    </r>
    <phoneticPr fontId="10" type="noConversion"/>
  </si>
  <si>
    <t>14.5 Slim</t>
    <phoneticPr fontId="10" type="noConversion"/>
  </si>
  <si>
    <t>Kodiaq_RTH</t>
    <phoneticPr fontId="10" type="noConversion"/>
  </si>
  <si>
    <t>Acer Nitro V 14S</t>
  </si>
  <si>
    <t>Kodiaq_SKF</t>
    <phoneticPr fontId="10" type="noConversion"/>
  </si>
  <si>
    <t>Acer Nitro V 14S AI</t>
  </si>
  <si>
    <t>MASTER SPEC SHEET - 2024 GAMING LAPTOP PROJECTS</t>
    <phoneticPr fontId="10" type="noConversion"/>
  </si>
  <si>
    <t>HELIOS 16</t>
  </si>
  <si>
    <t>HELIOS 18</t>
  </si>
  <si>
    <t>HELIOS NEO 16</t>
  </si>
  <si>
    <t>HELIOS NEO 18</t>
  </si>
  <si>
    <t>HELIOS NEO 14</t>
    <phoneticPr fontId="10" type="noConversion"/>
  </si>
  <si>
    <t>TRITON NEO 16</t>
  </si>
  <si>
    <t>NITRO 14</t>
  </si>
  <si>
    <t>NITRO 16</t>
  </si>
  <si>
    <t>NITRO 17</t>
  </si>
  <si>
    <t>NITRO V 15</t>
    <phoneticPr fontId="10" type="noConversion"/>
  </si>
  <si>
    <t>NITRO V 16 [AI]</t>
  </si>
  <si>
    <t>NITRO V 16</t>
    <phoneticPr fontId="10" type="noConversion"/>
  </si>
  <si>
    <t>NITRO V 14</t>
  </si>
  <si>
    <t>PH16-72</t>
    <phoneticPr fontId="10" type="noConversion"/>
  </si>
  <si>
    <t>PH18-72</t>
    <phoneticPr fontId="10" type="noConversion"/>
  </si>
  <si>
    <t>PHN16-72</t>
    <phoneticPr fontId="10" type="noConversion"/>
  </si>
  <si>
    <t>PHN18-71</t>
    <phoneticPr fontId="10" type="noConversion"/>
  </si>
  <si>
    <t>PHN14-51</t>
    <phoneticPr fontId="10" type="noConversion"/>
  </si>
  <si>
    <t>PTN16-51</t>
    <phoneticPr fontId="10" type="noConversion"/>
  </si>
  <si>
    <t>AN14-41</t>
    <phoneticPr fontId="10" type="noConversion"/>
  </si>
  <si>
    <t>AN16-73</t>
    <phoneticPr fontId="10" type="noConversion"/>
  </si>
  <si>
    <t>AN16-42</t>
    <phoneticPr fontId="10" type="noConversion"/>
  </si>
  <si>
    <t>AN16-43</t>
    <phoneticPr fontId="10" type="noConversion"/>
  </si>
  <si>
    <t>AN17-72</t>
    <phoneticPr fontId="10" type="noConversion"/>
  </si>
  <si>
    <t>AN17-42</t>
    <phoneticPr fontId="10" type="noConversion"/>
  </si>
  <si>
    <t>ANV15-41</t>
    <phoneticPr fontId="10" type="noConversion"/>
  </si>
  <si>
    <t>ANV16-41</t>
    <phoneticPr fontId="10" type="noConversion"/>
  </si>
  <si>
    <t>ANV16-71</t>
    <phoneticPr fontId="10" type="noConversion"/>
  </si>
  <si>
    <t>ANV14-61</t>
    <phoneticPr fontId="10" type="noConversion"/>
  </si>
  <si>
    <t>eTron_RTX</t>
  </si>
  <si>
    <t>IONIQ_RTX</t>
  </si>
  <si>
    <t>EQE_RTX</t>
  </si>
  <si>
    <t>IPACE_RTX</t>
  </si>
  <si>
    <t>Taycan_MTH</t>
  </si>
  <si>
    <t>Leaf_MTH</t>
  </si>
  <si>
    <t>ID5_HKH</t>
    <phoneticPr fontId="10" type="noConversion"/>
  </si>
  <si>
    <t>LBX_RTX</t>
    <phoneticPr fontId="10" type="noConversion"/>
  </si>
  <si>
    <t>C40_HKH</t>
  </si>
  <si>
    <t>LBX_HKH</t>
    <phoneticPr fontId="10" type="noConversion"/>
  </si>
  <si>
    <t>EX90_RTX</t>
  </si>
  <si>
    <t>EX90_HKH</t>
  </si>
  <si>
    <t>Sportage_RBH</t>
    <phoneticPr fontId="10" type="noConversion"/>
  </si>
  <si>
    <t>RZ_HKH</t>
  </si>
  <si>
    <t>RZ_RTX</t>
  </si>
  <si>
    <t>GR86_HKH</t>
  </si>
  <si>
    <t>MegKey 3.0
infinity mirror lighting bar</t>
    <phoneticPr fontId="10" type="noConversion"/>
  </si>
  <si>
    <t>MegKey 3.0
infinity mirror lighting bar</t>
  </si>
  <si>
    <t>Number-splattered abyssal-black anodized cover</t>
    <phoneticPr fontId="10" type="noConversion"/>
  </si>
  <si>
    <t>Studio driver
Calman</t>
    <phoneticPr fontId="10" type="noConversion"/>
  </si>
  <si>
    <t>Predator Sense
QuickPanel
ProClip
LiveArt
Purified View 1.0
Purified Voice 2.0
Killer (WiFi/LAN)
Windows Copilot
Paint
Bing Chat</t>
    <phoneticPr fontId="10" type="noConversion"/>
  </si>
  <si>
    <t>Predator Sense
QuickPanel
ProClip
Purified View 1.0
Purified Voice 2.0
Killer (WiFi/LAN)
Windows Copilot
Paint
Bing Chat</t>
    <phoneticPr fontId="10" type="noConversion"/>
  </si>
  <si>
    <t>Predator Sense
QuickPanel
ProClip
Acer AlterView
LiveArt
Purified View 1.0
Purified Voice 2.0
Killer (WiFi)
Windows Copilot
Paint
Bing Chat</t>
    <phoneticPr fontId="10" type="noConversion"/>
  </si>
  <si>
    <t>Nitro Sense
QuickPanel                                                                                                                                                                           
ProClip
LiveArt
Purified View 1.0
Purified Voice 2.0
Killer (WiFi)
Windows Copilot
Paint
Bing Chat</t>
    <phoneticPr fontId="10" type="noConversion"/>
  </si>
  <si>
    <t>Nitro Sense
QuickPanel
ProClip
Purified View 1.0
Purified Voice 2.0
Killer (WiFi/LAN)
Windows Copilot
Paint
Bing Chat</t>
    <phoneticPr fontId="10" type="noConversion"/>
  </si>
  <si>
    <t>Nitro Sense
QuickPanel
ProClip
LiveArt
Purified View 1.0
Purified Voice 2.0
Killer (WiFi/LAN)
Windows Copilot
Paint
Bing Chat</t>
    <phoneticPr fontId="10" type="noConversion"/>
  </si>
  <si>
    <t>Nitro Sense
QuickPanel
ProClip
Purified View 1.0
Purified Voice 1.0
Killer (WiFi/LAN)
Windows Copilot
Paint
Bing Chat</t>
    <phoneticPr fontId="10" type="noConversion"/>
  </si>
  <si>
    <t>Nitro Sense
QuickPanel
ProClip
LiveArt
Purified View 1.0
Purified Voice 2.0
Killer (WiFi)
Windows Copilot
Paint
Bing Chat</t>
    <phoneticPr fontId="10" type="noConversion"/>
  </si>
  <si>
    <t>NitroSense/Experience Zone
QuickPanel
ProClip
Purified View 1.0
Purified Voice 1.0
Copilot
Paint
Bing Chat</t>
  </si>
  <si>
    <r>
      <rPr>
        <sz val="12"/>
        <color rgb="FF0070C0"/>
        <rFont val="Predator"/>
        <family val="3"/>
      </rPr>
      <t>Intel® Core™ i9-14900HX processor</t>
    </r>
    <r>
      <rPr>
        <sz val="12"/>
        <color theme="1" tint="0.249977111117893"/>
        <rFont val="Predator"/>
        <family val="3"/>
      </rPr>
      <t xml:space="preserve">
(36 MB Smart Cache, 2.2 GHz, Performance-core with Intel® Thermal Velocity Boost up to 5.8 GHz, overclock capable)
</t>
    </r>
    <r>
      <rPr>
        <sz val="12"/>
        <color rgb="FF0070C0"/>
        <rFont val="Predator"/>
        <family val="3"/>
      </rPr>
      <t>Intel® Core™ i7-14700HX processor</t>
    </r>
    <r>
      <rPr>
        <sz val="12"/>
        <color theme="1" tint="0.249977111117893"/>
        <rFont val="Predator"/>
        <family val="3"/>
      </rPr>
      <t xml:space="preserve">
(33 MB Smart Cache, 2.1 GHz Performance-core with Intel® Thermal Velocity Boost up to 5.5 GHz, overclock capable)</t>
    </r>
    <phoneticPr fontId="10" type="noConversion"/>
  </si>
  <si>
    <r>
      <rPr>
        <sz val="12"/>
        <color rgb="FF0070C0"/>
        <rFont val="Predator"/>
        <family val="3"/>
      </rPr>
      <t>Intel® Core™ i9-14900HX processor</t>
    </r>
    <r>
      <rPr>
        <sz val="12"/>
        <color theme="1" tint="0.249977111117893"/>
        <rFont val="Predator"/>
        <family val="3"/>
      </rPr>
      <t xml:space="preserve">
(36 MB Smart Cache, 2.2 GHz Performance-core with Intel® Thermal Velocity Boost up to 5.8 GHz, overclock capable)</t>
    </r>
  </si>
  <si>
    <r>
      <rPr>
        <sz val="12"/>
        <color rgb="FF0070C0"/>
        <rFont val="Predator"/>
        <family val="3"/>
      </rPr>
      <t>Intel® Core™ i9-14900HX processor</t>
    </r>
    <r>
      <rPr>
        <sz val="12"/>
        <color theme="1" tint="0.249977111117893"/>
        <rFont val="Predator"/>
        <family val="3"/>
      </rPr>
      <t xml:space="preserve">
(36 MB Smart Cache, 2.2 GHz, Performance-core with Intel® Thermal Velocity Boost up to 5.8 GHz, overclock capable)
</t>
    </r>
    <r>
      <rPr>
        <sz val="12"/>
        <color rgb="FF0070C0"/>
        <rFont val="Predator"/>
        <family val="3"/>
      </rPr>
      <t>Intel® Core™ i7-14700HX processor</t>
    </r>
    <r>
      <rPr>
        <sz val="12"/>
        <color theme="1" tint="0.249977111117893"/>
        <rFont val="Predator"/>
        <family val="3"/>
      </rPr>
      <t xml:space="preserve">
(33 MB Smart Cache, 2.1 GHz Performance-core with Intel® Thermal Velocity Boost up to 5.5 GHz, overclock capable)
</t>
    </r>
    <r>
      <rPr>
        <sz val="12"/>
        <color rgb="FF0070C0"/>
        <rFont val="Predator"/>
        <family val="3"/>
      </rPr>
      <t xml:space="preserve">Intel® Core™ i7-14650HX processor </t>
    </r>
    <r>
      <rPr>
        <sz val="12"/>
        <color theme="1" tint="0.249977111117893"/>
        <rFont val="Predator"/>
        <family val="3"/>
      </rPr>
      <t xml:space="preserve">
(30 MB Smart Cache, 2.2 GHz Performance-core with Intel® Thermal Velocity Boost up to 5.2 GHz, overclock capable)
</t>
    </r>
    <r>
      <rPr>
        <sz val="12"/>
        <color rgb="FF0070C0"/>
        <rFont val="Predator"/>
        <family val="3"/>
      </rPr>
      <t xml:space="preserve">Intel® Core™ i5-14500HX processor </t>
    </r>
    <r>
      <rPr>
        <sz val="12"/>
        <color theme="1" tint="0.249977111117893"/>
        <rFont val="Predator"/>
        <family val="3"/>
      </rPr>
      <t xml:space="preserve">
(24 MB Smart Cache, 2.6 GHz Performance-core with Intel® Turbo Boost Technology 2.0 up to 4.9 GHz, overclock capable)
</t>
    </r>
    <r>
      <rPr>
        <sz val="12"/>
        <color rgb="FF0070C0"/>
        <rFont val="Predator"/>
        <family val="3"/>
      </rPr>
      <t>Intel® Core™ i5-14450HX processor</t>
    </r>
    <r>
      <rPr>
        <sz val="12"/>
        <color theme="1" tint="0.249977111117893"/>
        <rFont val="Predator"/>
        <family val="3"/>
      </rPr>
      <t xml:space="preserve"> 
(20 MB Smart Cache, 2.4 GHz Performance-core with Intel® Turbo Boost Technology 2.0 up to 4.8 GHz, overclock capable)</t>
    </r>
  </si>
  <si>
    <r>
      <rPr>
        <sz val="12"/>
        <color rgb="FF0070C0"/>
        <rFont val="Predator"/>
        <family val="3"/>
      </rPr>
      <t>Intel® Core™ i9-14900HX processor</t>
    </r>
    <r>
      <rPr>
        <sz val="12"/>
        <color theme="1" tint="0.249977111117893"/>
        <rFont val="Predator"/>
        <family val="3"/>
      </rPr>
      <t xml:space="preserve">
(36 MB Smart Cache, 2.2 GHz, Performance-core with Intel® Thermal Velocity Boost up to 5.8 GHz, overclock capable)
</t>
    </r>
    <r>
      <rPr>
        <sz val="12"/>
        <color rgb="FF0070C0"/>
        <rFont val="Predator"/>
        <family val="3"/>
      </rPr>
      <t>Intel® Core™ i7-14700HX processor</t>
    </r>
    <r>
      <rPr>
        <sz val="12"/>
        <color theme="1" tint="0.249977111117893"/>
        <rFont val="Predator"/>
        <family val="3"/>
      </rPr>
      <t xml:space="preserve">
(33 MB Smart Cache, 2.1 GHz Performance-core with Intel® Thermal Velocity Boost up to 5.5 GHz, overclock capable)
</t>
    </r>
    <r>
      <rPr>
        <sz val="12"/>
        <color rgb="FF0070C0"/>
        <rFont val="Predator"/>
        <family val="3"/>
      </rPr>
      <t xml:space="preserve">Intel® Core™ i7-14650HX processor </t>
    </r>
    <r>
      <rPr>
        <sz val="12"/>
        <color theme="1" tint="0.249977111117893"/>
        <rFont val="Predator"/>
        <family val="3"/>
      </rPr>
      <t xml:space="preserve">
(30 MB Smart Cache, 2.2 GHz Performance-core with Intel® Thermal Velocity Boost up to 5.2 GHz, overclock capable)
</t>
    </r>
    <r>
      <rPr>
        <sz val="12"/>
        <color rgb="FF0070C0"/>
        <rFont val="Predator"/>
        <family val="3"/>
      </rPr>
      <t xml:space="preserve">Intel® Core™ i5-14500HX processor </t>
    </r>
    <r>
      <rPr>
        <sz val="12"/>
        <color theme="1" tint="0.249977111117893"/>
        <rFont val="Predator"/>
        <family val="3"/>
      </rPr>
      <t xml:space="preserve">
(24 MB Smart Cache, 2.6 GHz Performance-core with Intel® Turbo Boost Technology 2.0 up to 4.9 GHz, overclock capable)
</t>
    </r>
    <r>
      <rPr>
        <sz val="12"/>
        <color rgb="FF0070C0"/>
        <rFont val="Predator"/>
        <family val="3"/>
      </rPr>
      <t>Intel® Core™ i5-14450HX processor</t>
    </r>
    <r>
      <rPr>
        <sz val="12"/>
        <color theme="1" tint="0.249977111117893"/>
        <rFont val="Predator"/>
        <family val="3"/>
      </rPr>
      <t xml:space="preserve"> 
(20 MB Smart Cache, 2.4 GHz Performance-core with Intel® Turbo Boost Technology 2.0 up to 4.8 GHz, overclock capable)</t>
    </r>
    <phoneticPr fontId="10" type="noConversion"/>
  </si>
  <si>
    <r>
      <rPr>
        <sz val="12"/>
        <color rgb="FF0070C0"/>
        <rFont val="Predator"/>
        <family val="3"/>
      </rPr>
      <t xml:space="preserve">Intel® Core™ Ultra 9 processor 185H
</t>
    </r>
    <r>
      <rPr>
        <sz val="12"/>
        <color theme="1" tint="0.249977111117893"/>
        <rFont val="Predator"/>
        <family val="3"/>
      </rPr>
      <t xml:space="preserve">(24 MB Smart Cache, 2.3 GHz P-core base core frequency with Intel® Turbo Boost Max Technology 3.0 up to 5.1 GHz, Intel® AI Boost capable, and Intel® vPro™ Enterprise eligibility), supporting hybrid core architecture with Performance-core, Efficient-core, and Low-Power Efficient-core	
</t>
    </r>
    <r>
      <rPr>
        <sz val="12"/>
        <color rgb="FF0070C0"/>
        <rFont val="Predator"/>
        <family val="3"/>
      </rPr>
      <t xml:space="preserve">Intel® Core™ Ultra 7 processor 155H
</t>
    </r>
    <r>
      <rPr>
        <sz val="12"/>
        <color theme="1" tint="0.249977111117893"/>
        <rFont val="Predator"/>
        <family val="3"/>
      </rPr>
      <t xml:space="preserve">(24 MB Smart Cache, 1.4 GHz P-core base core frequency with Intel® Turbo Boost Max Technology 3.0 up to 4.8 GHz, Intel® AI Boost capable), supporting hybrid core architecture with Performance-core, Efficient-core and Low-Power Efficient-core	
</t>
    </r>
    <r>
      <rPr>
        <sz val="12"/>
        <color rgb="FF0070C0"/>
        <rFont val="Predator"/>
        <family val="3"/>
      </rPr>
      <t xml:space="preserve">Intel® Core™ Ultra 5 processor 125H
</t>
    </r>
    <r>
      <rPr>
        <sz val="12"/>
        <color theme="1" tint="0.249977111117893"/>
        <rFont val="Predator"/>
        <family val="3"/>
      </rPr>
      <t>(18 MB Smart Cache, 1.2 GHz P-core base core frequency with Intel® Turbo Boost Technology 2.0 up to 4.5 GHz, Intel® AI Boost capable), supporting hybrid core architecture with Performance-core, Efficient-core and Low-Power Efficient-core</t>
    </r>
    <phoneticPr fontId="10" type="noConversion"/>
  </si>
  <si>
    <r>
      <rPr>
        <sz val="12"/>
        <color rgb="FFC00000"/>
        <rFont val="Predator"/>
        <family val="3"/>
      </rPr>
      <t>AMD Ryzen™ 7 8845HS octa-core processor</t>
    </r>
    <r>
      <rPr>
        <sz val="12"/>
        <color theme="1" tint="0.249977111117893"/>
        <rFont val="Predator"/>
        <family val="3"/>
      </rPr>
      <t xml:space="preserve">
(up to 8 MB L2 cache, up to 16 MB L3 cache, 3.8 GHz with boost up to 5.1 GHz, AMD Ryzen™ AI capable)
</t>
    </r>
    <r>
      <rPr>
        <sz val="12"/>
        <color rgb="FFC00000"/>
        <rFont val="Predator"/>
        <family val="3"/>
      </rPr>
      <t>AMD Ryzen™ 5 8645HS hexa-core processor</t>
    </r>
    <r>
      <rPr>
        <sz val="12"/>
        <color theme="1" tint="0.249977111117893"/>
        <rFont val="Predator"/>
        <family val="3"/>
      </rPr>
      <t xml:space="preserve">
(up to 6 MB L2 cache, up to 16 MB L3 cache, 4.3 GHz with boost up to 5.0 GHz, AMD Ryzen™ AI capable)</t>
    </r>
    <phoneticPr fontId="10" type="noConversion"/>
  </si>
  <si>
    <r>
      <rPr>
        <sz val="12"/>
        <color rgb="FF0070C0"/>
        <rFont val="Predator"/>
        <family val="3"/>
      </rPr>
      <t>Intel® Core™ i7-14700HX processor</t>
    </r>
    <r>
      <rPr>
        <sz val="12"/>
        <color theme="1" tint="0.249977111117893"/>
        <rFont val="Predator"/>
        <family val="3"/>
      </rPr>
      <t xml:space="preserve">
(33 MB Smart Cache, 2.1 GHz Performance-core with Intel® Thermal Velocity Boost up to 5.5 GHz, overclock capable)
</t>
    </r>
    <r>
      <rPr>
        <sz val="12"/>
        <color rgb="FF0070C0"/>
        <rFont val="Predator"/>
        <family val="3"/>
      </rPr>
      <t xml:space="preserve">Intel® Core™ i7-14650HX processor </t>
    </r>
    <r>
      <rPr>
        <sz val="12"/>
        <color theme="1" tint="0.249977111117893"/>
        <rFont val="Predator"/>
        <family val="3"/>
      </rPr>
      <t xml:space="preserve">
(30 MB Smart Cache, 2.2 GHz Performance-core with Intel® Thermal Velocity Boost up to 5.2 GHz, overclock capable)
</t>
    </r>
    <r>
      <rPr>
        <sz val="12"/>
        <color rgb="FF0070C0"/>
        <rFont val="Predator"/>
        <family val="3"/>
      </rPr>
      <t>Intel® Core™ i5-14450HX processor</t>
    </r>
    <r>
      <rPr>
        <sz val="12"/>
        <color theme="1" tint="0.249977111117893"/>
        <rFont val="Predator"/>
        <family val="3"/>
      </rPr>
      <t xml:space="preserve"> 
(20 MB Smart Cache, 2.4 GHz Performance-core with Intel® Turbo Boost Technology 2.0 up to 4.8 GHz, overclock capable)</t>
    </r>
    <phoneticPr fontId="10" type="noConversion"/>
  </si>
  <si>
    <r>
      <rPr>
        <sz val="12"/>
        <color rgb="FFC00000"/>
        <rFont val="Predator"/>
        <family val="3"/>
      </rPr>
      <t xml:space="preserve">AMD Ryzen™ 9 8945HS octa-core processor
</t>
    </r>
    <r>
      <rPr>
        <sz val="12"/>
        <color theme="1" tint="0.249977111117893"/>
        <rFont val="Predator"/>
        <family val="3"/>
      </rPr>
      <t xml:space="preserve">(up to 8 MB L2 cache, up to 16 MB L3 cache, 4.0 GHz with boost up to 5.2 GHz, AMD Ryzen™ AI capable)
</t>
    </r>
    <r>
      <rPr>
        <sz val="12"/>
        <color rgb="FFC00000"/>
        <rFont val="Predator"/>
        <family val="3"/>
      </rPr>
      <t xml:space="preserve">AMD Ryzen™ 7 8845HS octa-core processor
</t>
    </r>
    <r>
      <rPr>
        <sz val="12"/>
        <color theme="1" tint="0.249977111117893"/>
        <rFont val="Predator"/>
        <family val="3"/>
      </rPr>
      <t xml:space="preserve">(up to 8 MB L2 cache, up to 16 MB L3 cache, 3.8 GHz with boost up to 5.1 GHz, AMD Ryzen™ AI capable)
</t>
    </r>
    <r>
      <rPr>
        <sz val="12"/>
        <color rgb="FFC00000"/>
        <rFont val="Predator"/>
        <family val="3"/>
      </rPr>
      <t>AMD Ryzen™ 5 8645HS hexa-core processor</t>
    </r>
    <r>
      <rPr>
        <sz val="12"/>
        <color theme="1" tint="0.249977111117893"/>
        <rFont val="Predator"/>
        <family val="3"/>
      </rPr>
      <t xml:space="preserve">
(up to 6 MB L2 cache, up to 16 MB L3 cache, 4.3 GHz with boost up to 5.0 GHz, AMD Ryzen™ AI capable)</t>
    </r>
    <phoneticPr fontId="10" type="noConversion"/>
  </si>
  <si>
    <r>
      <rPr>
        <sz val="12"/>
        <color rgb="FFC00000"/>
        <rFont val="Predator"/>
        <family val="3"/>
      </rPr>
      <t xml:space="preserve">AMD Ryzen™ 9 8945HS octa-core processor
</t>
    </r>
    <r>
      <rPr>
        <sz val="12"/>
        <color theme="1" tint="0.249977111117893"/>
        <rFont val="Predator"/>
        <family val="3"/>
      </rPr>
      <t xml:space="preserve"> (up to 8 MB L2 cache, up to 16 MB L3 cache, 4.0 GHz with boost up to 5.2 GHz, AMD Ryzen™ AI capable)
</t>
    </r>
    <r>
      <rPr>
        <sz val="12"/>
        <color rgb="FFC00000"/>
        <rFont val="Predator"/>
        <family val="3"/>
      </rPr>
      <t xml:space="preserve">AMD Ryzen™ 7 8845HS octa-core processor
</t>
    </r>
    <r>
      <rPr>
        <sz val="12"/>
        <color theme="1" tint="0.249977111117893"/>
        <rFont val="Predator"/>
        <family val="3"/>
      </rPr>
      <t xml:space="preserve">(up to 8 MB L2 cache, up to 16 MB L3 cache, 3.8 GHz with boost up to 5.1 GHz, AMD Ryzen™ AI capable)
</t>
    </r>
    <r>
      <rPr>
        <sz val="12"/>
        <color rgb="FFC00000"/>
        <rFont val="Predator"/>
        <family val="3"/>
      </rPr>
      <t xml:space="preserve">AMD Ryzen™ 5 8645HS hexa-core processor
</t>
    </r>
    <r>
      <rPr>
        <sz val="12"/>
        <color theme="1" tint="0.249977111117893"/>
        <rFont val="Predator"/>
        <family val="3"/>
      </rPr>
      <t>(up to 6 MB L2 cache, up to 16 MB L3 cache, 4.3 GHz with boost up to 5.0 GHz, AMD Ryzen™ AI capable)</t>
    </r>
    <phoneticPr fontId="10" type="noConversion"/>
  </si>
  <si>
    <r>
      <rPr>
        <sz val="12"/>
        <color rgb="FFC00000"/>
        <rFont val="Predator"/>
        <family val="3"/>
      </rPr>
      <t xml:space="preserve">AMD Ryzen™ 9 8945HS octa-core processor
</t>
    </r>
    <r>
      <rPr>
        <sz val="12"/>
        <color theme="1" tint="0.249977111117893"/>
        <rFont val="Predator"/>
        <family val="3"/>
      </rPr>
      <t xml:space="preserve">(up to 8 MB L2 cache, up to 16 MB L3 cache, 4.0 GHz with boost up to 5.2 GHz, AMD Ryzen™ AI capable)
</t>
    </r>
    <r>
      <rPr>
        <sz val="12"/>
        <color rgb="FFC00000"/>
        <rFont val="Predator"/>
        <family val="3"/>
      </rPr>
      <t xml:space="preserve">AMD Ryzen™ 7 8845HS octa-core processor
</t>
    </r>
    <r>
      <rPr>
        <sz val="12"/>
        <color theme="1" tint="0.249977111117893"/>
        <rFont val="Predator"/>
        <family val="3"/>
      </rPr>
      <t xml:space="preserve">(up to 8 MB L2 cache, up to 16 MB L3 cache, 3.8 GHz with boost up to 5.1 GHz, AMD Ryzen™ AI capable)
</t>
    </r>
    <r>
      <rPr>
        <sz val="12"/>
        <color rgb="FFC00000"/>
        <rFont val="Predator"/>
        <family val="3"/>
      </rPr>
      <t xml:space="preserve">AMD Ryzen™ 5 8645HS hexa-core processor
</t>
    </r>
    <r>
      <rPr>
        <sz val="12"/>
        <color theme="1"/>
        <rFont val="Predator"/>
        <family val="3"/>
      </rPr>
      <t>(up to 6 MB L2 cache, up to 16 MB L3 cache, 4.3 GHz with boost up to 5.0 GHz, AMD Ryzen™ AI capable)</t>
    </r>
    <phoneticPr fontId="10" type="noConversion"/>
  </si>
  <si>
    <r>
      <rPr>
        <sz val="12"/>
        <color rgb="FFC00000"/>
        <rFont val="Predator"/>
        <family val="3"/>
      </rPr>
      <t>AMD Ryzen™ 7 7735HS octa-core processor</t>
    </r>
    <r>
      <rPr>
        <sz val="12"/>
        <color theme="1" tint="0.249977111117893"/>
        <rFont val="Predator"/>
        <family val="3"/>
      </rPr>
      <t xml:space="preserve">
(up to 4 MB L2 cache, up to 16 MB L3 cache, 3.2 GHz with boost up to 4.75 GHz)
</t>
    </r>
    <r>
      <rPr>
        <sz val="12"/>
        <color rgb="FFC00000"/>
        <rFont val="Predator"/>
        <family val="3"/>
      </rPr>
      <t>AMD Ryzen™ 5 7535HS hexa-core processor</t>
    </r>
    <r>
      <rPr>
        <sz val="12"/>
        <color theme="1" tint="0.249977111117893"/>
        <rFont val="Predator"/>
        <family val="3"/>
      </rPr>
      <t xml:space="preserve">
(up to 3 MB L2 cache, up to 16 MB L3 cache, 3.3 GHz with boost up to 4.55 GHz)</t>
    </r>
  </si>
  <si>
    <r>
      <rPr>
        <sz val="12"/>
        <color rgb="FFC00000"/>
        <rFont val="Predator"/>
      </rPr>
      <t xml:space="preserve">AMD Ryzen™ 7 8845HS octa-core processor
</t>
    </r>
    <r>
      <rPr>
        <sz val="12"/>
        <color rgb="FF404040"/>
        <rFont val="Predator"/>
      </rPr>
      <t xml:space="preserve">(up to 8 MB L2 cache, up to 16 MB L3 cache, 3.8 GHz with boost up to 5.1 GHz,)
</t>
    </r>
    <r>
      <rPr>
        <sz val="12"/>
        <color rgb="FFC00000"/>
        <rFont val="Predator"/>
      </rPr>
      <t xml:space="preserve">AMD Ryzen™ 5 8645HS hexa-core processor
</t>
    </r>
    <r>
      <rPr>
        <sz val="12"/>
        <color rgb="FF000000"/>
        <rFont val="Predator"/>
      </rPr>
      <t>(up to 6 MB L2 cache, up to 16 MB L3 cache, 4.3 GHz with boost up to 5.0 GHz)</t>
    </r>
  </si>
  <si>
    <r>
      <rPr>
        <sz val="12"/>
        <color rgb="FF0070C0"/>
        <rFont val="Predator"/>
      </rPr>
      <t xml:space="preserve">Intel® Core™ i7-14650HX processor 
</t>
    </r>
    <r>
      <rPr>
        <sz val="12"/>
        <color rgb="FF404040"/>
        <rFont val="Predator"/>
      </rPr>
      <t xml:space="preserve">(30 MB Smart Cache, 2.2 GHz Performance-core with Intel® Thermal Velocity Boost up to 5.2 GHz, overclock capable)
</t>
    </r>
    <r>
      <rPr>
        <sz val="12"/>
        <color rgb="FF0070C0"/>
        <rFont val="Predator"/>
      </rPr>
      <t xml:space="preserve">Intel® Core™ i5-14450HX processor 
</t>
    </r>
    <r>
      <rPr>
        <sz val="12"/>
        <color rgb="FF404040"/>
        <rFont val="Predator"/>
      </rPr>
      <t>(20 MB Smart Cache, 2.4 GHz Performance-core with Intel® Turbo Boost Technology 2.0 up to 4.8 GHz, overclock capable)</t>
    </r>
  </si>
  <si>
    <r>
      <rPr>
        <sz val="12"/>
        <color rgb="FFC00000"/>
        <rFont val="Predator"/>
        <family val="3"/>
      </rPr>
      <t xml:space="preserve">AMD Ryzen™ 7 8845HS octa-core processor
</t>
    </r>
    <r>
      <rPr>
        <sz val="12"/>
        <color theme="1" tint="0.249977111117893"/>
        <rFont val="Predator"/>
        <family val="3"/>
      </rPr>
      <t xml:space="preserve">(up to 8 MB L2 cache, up to 16 MB L3 cache, 3.8 GHz with boost up to 5.1 GHz,)
</t>
    </r>
    <r>
      <rPr>
        <sz val="12"/>
        <color rgb="FFC00000"/>
        <rFont val="Predator"/>
        <family val="3"/>
      </rPr>
      <t xml:space="preserve">AMD Ryzen™ 5 8645HS hexa-core processor
</t>
    </r>
    <r>
      <rPr>
        <sz val="12"/>
        <color theme="1"/>
        <rFont val="Predator"/>
        <family val="3"/>
      </rPr>
      <t>(up to 6 MB L2 cache, up to 16 MB L3 cache, 4.3 GHz with boost up to 5.0 GHz)</t>
    </r>
    <phoneticPr fontId="10" type="noConversion"/>
  </si>
  <si>
    <t>Intel Raptor lake refresh I5/I7</t>
  </si>
  <si>
    <t>AMD Hawk point R5/R7</t>
  </si>
  <si>
    <t>Meteor Lake: 11 TOPS</t>
    <phoneticPr fontId="10" type="noConversion"/>
  </si>
  <si>
    <t>Hawk Point: 16 TOPS</t>
    <phoneticPr fontId="10" type="noConversion"/>
  </si>
  <si>
    <t>i9: 115W
i7: 115W</t>
    <phoneticPr fontId="10" type="noConversion"/>
  </si>
  <si>
    <t>i9: 115W</t>
    <phoneticPr fontId="10" type="noConversion"/>
  </si>
  <si>
    <t>i9: 115W
i7: 115W
i5: 115W</t>
    <phoneticPr fontId="10" type="noConversion"/>
  </si>
  <si>
    <t>Ultra 9: 95W
Ultra 7: 95W
Ultra 5: 90W</t>
    <phoneticPr fontId="10" type="noConversion"/>
  </si>
  <si>
    <t>Ultra 9: 70W
Ultra 7: 70W
Ultra 5: 70W</t>
    <phoneticPr fontId="10" type="noConversion"/>
  </si>
  <si>
    <t>R7: 45 W
R5: 45 W</t>
    <phoneticPr fontId="10" type="noConversion"/>
  </si>
  <si>
    <t>i7: 85W
i5: 85W</t>
    <phoneticPr fontId="10" type="noConversion"/>
  </si>
  <si>
    <t>R9: 45W
R7: 45W</t>
    <phoneticPr fontId="10" type="noConversion"/>
  </si>
  <si>
    <t>R9: 80W
R7: 80W
R5: 80W</t>
    <phoneticPr fontId="10" type="noConversion"/>
  </si>
  <si>
    <t>i7: 100W
i5: 100W</t>
    <phoneticPr fontId="10" type="noConversion"/>
  </si>
  <si>
    <t>R9: 45W
R7: 45W
R5: 45W</t>
    <phoneticPr fontId="10" type="noConversion"/>
  </si>
  <si>
    <t>R7: 54W
R5: 54W</t>
    <phoneticPr fontId="10" type="noConversion"/>
  </si>
  <si>
    <t>i7: 80W
i5: 80W</t>
    <phoneticPr fontId="10" type="noConversion"/>
  </si>
  <si>
    <t>R7: 30W
R5: 30W</t>
    <phoneticPr fontId="10" type="noConversion"/>
  </si>
  <si>
    <t>i7-14700: Yes
 i7-14650: No
i5-14450: No</t>
    <phoneticPr fontId="10" type="noConversion"/>
  </si>
  <si>
    <t>Graphic Card</t>
    <phoneticPr fontId="10" type="noConversion"/>
  </si>
  <si>
    <t>NVIDIA® GeForce RTX™ 4080 12GB
NVIDIA® GeForce RTX™ 4070 8G</t>
    <phoneticPr fontId="10" type="noConversion"/>
  </si>
  <si>
    <t>NVIDIA® GeForce RTX™ 4090 16GB
NVIDIA® GeForce RTX™ 4080 12GB</t>
    <phoneticPr fontId="10" type="noConversion"/>
  </si>
  <si>
    <t>NVIDIA® GeForce RTX™ 4070 8G
NVIDIA® GeForce RTX™ 4060 8G
NVIDIA® GeForce RTX™ 4050 6G</t>
  </si>
  <si>
    <t>NVIDIA® GeForce RTX™ 4070 8G
NVIDIA® GeForce RTX™ 4060 8G
NVIDIA® GeForce RTX™ 4050 6G</t>
    <phoneticPr fontId="10" type="noConversion"/>
  </si>
  <si>
    <t>NVIDIA® GeForce RTX™ 4060 8G
NVIDIA® GeForce RTX™ 4050 6G
NVIDIA® GeForce RTX™ 3050 6G</t>
    <phoneticPr fontId="10" type="noConversion"/>
  </si>
  <si>
    <t>NVIDIA® GeForce RTX™ 4070 8G
NVIDIA® GeForce RTX™ 4060 8G
NVIDIA® GeForce RTX™ 4050 6G (EMEA only)</t>
    <phoneticPr fontId="10" type="noConversion"/>
  </si>
  <si>
    <t>NVIDIA® GeForce RTX™ 4060 8G
NVIDIA® GeForce RTX™ 4050 6G</t>
    <phoneticPr fontId="10" type="noConversion"/>
  </si>
  <si>
    <t>NVIDIA® GeForce RTX™ 4060 8G
NVIDIA® GeForce RTX™ 4050 6G
NVIDIA® GeForce RTX™ 3050 6G
NVIDIA® GeForce RTX™ 2050 4G</t>
    <phoneticPr fontId="10" type="noConversion"/>
  </si>
  <si>
    <t>NVIDIA® GeForce RTX™ 4050 6G
NVIDIA® GeForce RTX™ 3050 6G
NVIDIA® GeForce RTX™ 2050 4G</t>
    <phoneticPr fontId="10" type="noConversion"/>
  </si>
  <si>
    <t>RTX 4080: 150W
RTX 4070: 115W</t>
    <phoneticPr fontId="10" type="noConversion"/>
  </si>
  <si>
    <t>RTX 4090: 150W
RTX 4080: 150W</t>
    <phoneticPr fontId="10" type="noConversion"/>
  </si>
  <si>
    <t>RTX 4070: 115W
RTX 4060: 115W
RTX 4050: 115W</t>
    <phoneticPr fontId="10" type="noConversion"/>
  </si>
  <si>
    <r>
      <rPr>
        <sz val="12"/>
        <color theme="1"/>
        <rFont val="Predator"/>
        <family val="3"/>
      </rPr>
      <t>RTX 4070: 100W
RTX 4060: 95W
RTX 4050: 95W</t>
    </r>
    <phoneticPr fontId="10" type="noConversion"/>
  </si>
  <si>
    <t>RTX 4070: 85W
RTX 4060: 85W
RTX 4050: 85W</t>
    <phoneticPr fontId="10" type="noConversion"/>
  </si>
  <si>
    <t>RTX 4060: 85W
RTX 4050: 85W
RTX 3050: 80W</t>
    <phoneticPr fontId="10" type="noConversion"/>
  </si>
  <si>
    <r>
      <t xml:space="preserve">RTX 4060: 90W
RTX 4050: 90W
</t>
    </r>
    <r>
      <rPr>
        <sz val="12"/>
        <color theme="1"/>
        <rFont val="Predator"/>
        <family val="3"/>
      </rPr>
      <t>RTX 3050: 80W</t>
    </r>
    <phoneticPr fontId="10" type="noConversion"/>
  </si>
  <si>
    <t>RTX 4070: 115W
RTX 4060: 115W
RTX 4050: 115W(EMEA only)</t>
    <phoneticPr fontId="10" type="noConversion"/>
  </si>
  <si>
    <t>RTX 4060: 90W
RTX 4050: 90W
RTX 3050: 80W</t>
    <phoneticPr fontId="10" type="noConversion"/>
  </si>
  <si>
    <t>RTX 4060: 115W
RTX 4050: 115W</t>
    <phoneticPr fontId="10" type="noConversion"/>
  </si>
  <si>
    <t>RTX 4060: 60W
RTX 4050: 60W
RTX 3050: 50W
RTX 2050: 50W</t>
    <phoneticPr fontId="10" type="noConversion"/>
  </si>
  <si>
    <t>RTX 4060: 60W
RTX 4050: 60W
RTX 3050: 60W
RTX 2050: 55W</t>
    <phoneticPr fontId="10" type="noConversion"/>
  </si>
  <si>
    <t>RTX 4060: 60W
RTX 4050: 60W
RTX 3050: 60W</t>
    <phoneticPr fontId="10" type="noConversion"/>
  </si>
  <si>
    <t>RTX 4050: 50W
RTX 3050: 50W
RTX 2050: 50W</t>
    <phoneticPr fontId="10" type="noConversion"/>
  </si>
  <si>
    <t>RTX 4080: 25W
RTX 4070: 25W</t>
    <phoneticPr fontId="10" type="noConversion"/>
  </si>
  <si>
    <t>RTX 4090: 25W
RTX 4080: 25W</t>
    <phoneticPr fontId="10" type="noConversion"/>
  </si>
  <si>
    <t>RTX 4070: 25W
RTX 4060: 25W
RTX 4050: 25W</t>
    <phoneticPr fontId="10" type="noConversion"/>
  </si>
  <si>
    <t>RTX 4060: 25W
RTX 4050: 25W
RTX 3050: 15W</t>
    <phoneticPr fontId="10" type="noConversion"/>
  </si>
  <si>
    <r>
      <t xml:space="preserve">RTX 4060: 25W
RTX 4050: 25W
</t>
    </r>
    <r>
      <rPr>
        <sz val="12"/>
        <color theme="1"/>
        <rFont val="Predator"/>
        <family val="3"/>
      </rPr>
      <t>RTX 3050: 15W</t>
    </r>
    <phoneticPr fontId="10" type="noConversion"/>
  </si>
  <si>
    <t>RTX 4060: 25W
RTX 4050: 25W</t>
    <phoneticPr fontId="10" type="noConversion"/>
  </si>
  <si>
    <t>RTX 4060: 15W
RTX 4050: 15W
RTX 3050: 15W
RTX 2050: 15W</t>
    <phoneticPr fontId="10" type="noConversion"/>
  </si>
  <si>
    <t>RTX 4060: 25W
RTX 4050: 25W
RTX 3050: 10W
RTX 2050: 10W</t>
    <phoneticPr fontId="10" type="noConversion"/>
  </si>
  <si>
    <t>RTX 4060: 25W
RTX 4050: 25W
RTX 3050: 10W</t>
    <phoneticPr fontId="10" type="noConversion"/>
  </si>
  <si>
    <t>RTX 4050: 10W
RTX 3050: 10W
RTX 2050: 10W</t>
    <phoneticPr fontId="10" type="noConversion"/>
  </si>
  <si>
    <t>RTX 4080: 175W
RTX 4070: 140W</t>
    <phoneticPr fontId="10" type="noConversion"/>
  </si>
  <si>
    <t>RTX 4090: 175W
RTX 4080: 175W</t>
    <phoneticPr fontId="10" type="noConversion"/>
  </si>
  <si>
    <t>RTX 4070: 140W
RTX 4060: 140W
RTX 4050: 140W</t>
    <phoneticPr fontId="10" type="noConversion"/>
  </si>
  <si>
    <t>RTX 4070: 125W
RTX 4060: 120W
RTX 4050: 120W</t>
    <phoneticPr fontId="10" type="noConversion"/>
  </si>
  <si>
    <t>RTX 4070: 110W
RTX 4060: 110W
RTX 4050: 110W</t>
    <phoneticPr fontId="10" type="noConversion"/>
  </si>
  <si>
    <t>RTX 4060: 110W
RTX 4050: 110W
RTX 3050: 95W</t>
    <phoneticPr fontId="10" type="noConversion"/>
  </si>
  <si>
    <r>
      <t xml:space="preserve">RTX 4060: 115W
RTX 4050: 115W
</t>
    </r>
    <r>
      <rPr>
        <sz val="12"/>
        <color theme="1"/>
        <rFont val="Predator"/>
        <family val="3"/>
      </rPr>
      <t>RTX 3050: 95W</t>
    </r>
    <phoneticPr fontId="10" type="noConversion"/>
  </si>
  <si>
    <t>RTX 4060: 115W
RTX 4050: 115W
RTX 3050: 95W</t>
    <phoneticPr fontId="10" type="noConversion"/>
  </si>
  <si>
    <t>RTX 4060: 140W
RTX 4050: 140W</t>
    <phoneticPr fontId="10" type="noConversion"/>
  </si>
  <si>
    <t>RTX 4060: 75W
RTX 4050: 75W
RTX 3050: 65W
RTX 2050: 65W</t>
    <phoneticPr fontId="10" type="noConversion"/>
  </si>
  <si>
    <t>RTX 4060: 85W
RTX 4050: 85W
RTX 3050: 70W
RTX 2050: 65W</t>
    <phoneticPr fontId="10" type="noConversion"/>
  </si>
  <si>
    <t>RTX 4060: 85W
RTX 4050: 85W
RTX 3050: 70W</t>
    <phoneticPr fontId="10" type="noConversion"/>
  </si>
  <si>
    <t>RTX 4050: 60W
RTX 3050: 60W
RTX 2050: 60W</t>
    <phoneticPr fontId="10" type="noConversion"/>
  </si>
  <si>
    <t>RTX 4080: 65W+175W=240W
RTX 4070: 65W+140W=205W</t>
    <phoneticPr fontId="10" type="noConversion"/>
  </si>
  <si>
    <t>RTX 4090: 65W+175W=240W
RTX 4080: 65W+175W=240W</t>
    <phoneticPr fontId="10" type="noConversion"/>
  </si>
  <si>
    <t>RTX 4070: 60W+115W=175W
RTX 4060: 60W+115W=175W
RTX 4050: 55W+115W=170W</t>
    <phoneticPr fontId="10" type="noConversion"/>
  </si>
  <si>
    <t>RTX 4070: 45W+100W=145W
RTX 4060: 45W+95W=140W
RTX 4050: 45W+95W=140W</t>
    <phoneticPr fontId="10" type="noConversion"/>
  </si>
  <si>
    <t>RTX 4070: 35W+95W=130W
RTX 4060: 35W+95W=130W
RTX 4050: 35W+95W=130W</t>
    <phoneticPr fontId="10" type="noConversion"/>
  </si>
  <si>
    <t>RTX 4060: 40W+75W=115W
RTX 4050: 40W+75W=115W
RTX 3050: 35W+80W=115W</t>
    <phoneticPr fontId="10" type="noConversion"/>
  </si>
  <si>
    <t>RTX 4060: 45W+90W=135W
RTX 4050: 45W+90W=135W
RTX 3050: 45W+80W=125W</t>
    <phoneticPr fontId="10" type="noConversion"/>
  </si>
  <si>
    <t>RTX 4070: 60W+115W=175W
RTX 4060: 60W+115W=175W
RTX 4050: 45W+115W=160W</t>
    <phoneticPr fontId="10" type="noConversion"/>
  </si>
  <si>
    <t>RTX 4060: 60W+115W=175W
RTX 4050: 50W+115W=165W</t>
    <phoneticPr fontId="10" type="noConversion"/>
  </si>
  <si>
    <t>RTX 4060: 30W+60W=100W
RTX 4050: 30W+60W=100W
RTX 3050: 35W+50W=85W
RTX 2050: 35W+50W=85W</t>
    <phoneticPr fontId="10" type="noConversion"/>
  </si>
  <si>
    <t>RTX 4060: 45W+60W=105W
RTX 4050: 45W+60W=105W
RTX 3050: 45W+60W=105W
RTX 2050: 45W+55W=100W</t>
    <phoneticPr fontId="10" type="noConversion"/>
  </si>
  <si>
    <t>RTX 4060: 45W+60W=105W
RTX 4050: 45W+60W=105W
RTX 3050: 45W+60W=105W</t>
    <phoneticPr fontId="10" type="noConversion"/>
  </si>
  <si>
    <t>RTX 4050: 30W+ 50W= 80W
RTX 3050: 30W+ 50W= 80W
RTX 2050: 30W+ 50W= 80W</t>
    <phoneticPr fontId="10" type="noConversion"/>
  </si>
  <si>
    <t>RTX 4080: 542 TOPS
RTX 4070: 321 TOPS</t>
    <phoneticPr fontId="10" type="noConversion"/>
  </si>
  <si>
    <t>RTX 4090: 686 TOPS
RTX 4080: 542 TOPS</t>
    <phoneticPr fontId="10" type="noConversion"/>
  </si>
  <si>
    <t>RTX 4070: 321
RTX 4060: 233
RTX 4050: 194</t>
    <phoneticPr fontId="10" type="noConversion"/>
  </si>
  <si>
    <t>RTX 4070: 321 TOPS
RTX 4060: 233 TOPS
RTX 4050: 194 TOPS</t>
    <phoneticPr fontId="10" type="noConversion"/>
  </si>
  <si>
    <t>RTX 4060: 233 TOPS
RTX 4050: 194 TOPS</t>
    <phoneticPr fontId="10" type="noConversion"/>
  </si>
  <si>
    <t>RTX 4050: 194 TOPS</t>
    <phoneticPr fontId="10" type="noConversion"/>
  </si>
  <si>
    <t>NVIDIA Advanced Optimus [AO]</t>
  </si>
  <si>
    <t>RTX 4060: Yes
RTX 4050: Yes
RTX 3050: No</t>
    <phoneticPr fontId="10" type="noConversion"/>
  </si>
  <si>
    <r>
      <rPr>
        <sz val="12"/>
        <color rgb="FF404040"/>
        <rFont val="Predator"/>
        <family val="3"/>
      </rPr>
      <t xml:space="preserve">Display
[Panel, Resolution, Refresh Rate, </t>
    </r>
    <r>
      <rPr>
        <sz val="12"/>
        <color rgb="FF404040"/>
        <rFont val="微軟正黑體"/>
        <family val="2"/>
        <charset val="136"/>
      </rPr>
      <t>亮度</t>
    </r>
    <r>
      <rPr>
        <sz val="12"/>
        <color rgb="FF404040"/>
        <rFont val="Predator"/>
        <family val="3"/>
      </rPr>
      <t xml:space="preserve">, </t>
    </r>
    <r>
      <rPr>
        <sz val="12"/>
        <color rgb="FF404040"/>
        <rFont val="微軟正黑體"/>
        <family val="2"/>
        <charset val="136"/>
      </rPr>
      <t>色域</t>
    </r>
    <r>
      <rPr>
        <sz val="12"/>
        <color rgb="FF404040"/>
        <rFont val="Predator"/>
        <family val="3"/>
      </rPr>
      <t>, Response time]</t>
    </r>
  </si>
  <si>
    <t>Size: 16.0"
Ratio: 16:10
Resolution:
Mini LED, WQXGA 2560 x 1600, 250Hz, SDR mode 600 nits / HDR mode 1000 nits, DCI-P3 100%, 3ms (only bundle i9 + RTX4080 )
LED, WQXGA 2560 x 1600, 240Hz, 500 nits, DCI-P3 100%, 3ms</t>
    <phoneticPr fontId="10" type="noConversion"/>
  </si>
  <si>
    <t>Size: 18.0"
Ratio: 16:10
Resolution:
Mini LED, WQXGA 2560 x 1600, 250Hz, SDR mode 600 nits / HDR mode 1000 nits, DCI-P3 100%, 3ms
LED, WQXGA 2560 x 1600, 240Hz, 500 nits, DCI-P3 100%, 3ms  (only bundle i9 + RTX4080 )</t>
    <phoneticPr fontId="10" type="noConversion"/>
  </si>
  <si>
    <r>
      <rPr>
        <sz val="12"/>
        <color rgb="FF000000"/>
        <rFont val="Predator"/>
      </rPr>
      <t xml:space="preserve">Size: 16.0"
Ratio: 16:10
Resolution: 
LED, WQXGA 2560 x 1600, 240Hz, 500 nits, DCI-P3 100%, 3ms
LED, WQXGA 2560 x 1600, 165Hz, 500 nits, sRGB 100%, 3ms
</t>
    </r>
    <r>
      <rPr>
        <sz val="12"/>
        <color rgb="FFFF0000"/>
        <rFont val="Predator"/>
      </rPr>
      <t xml:space="preserve">LED, WUXGA 1920 x 1200, 180Hz, 400 nits, sRGB 100%, 3ms
</t>
    </r>
    <r>
      <rPr>
        <sz val="12"/>
        <color rgb="FF000000"/>
        <rFont val="Predator"/>
      </rPr>
      <t>LED, WUXGA 1920 x 1200, 165Hz, 400 nits, sRGB 100%, 3ms</t>
    </r>
  </si>
  <si>
    <t>Size: 18.0"
Ratio: 16:10
Resolution: 
LED, WQXGA 2560 x 1600, 240Hz, 500 nits, DCI-P3 100%, 3ms
LED, WQXGA 2560 x 1600, 165Hz, 300 nits, DCI-P3 100%, 3ms
LED, WUXGA 1920 x 1200, 165Hz, 300 nits, sRGB 100%, 3ms</t>
  </si>
  <si>
    <t>Size: 14.5"
Ratio: 16:10
Resolution:
LED, WQXGA+ 3072 x 1920, 165Hz, 400 nits, sRGB 100%
LED, WQXGA 2560 x 1600, 120Hz, 350 nits, sRGB 100%
LED, WUXGA 1920 x 1200, 120Hz, 300 nits, sRGB 100%</t>
    <phoneticPr fontId="10" type="noConversion"/>
  </si>
  <si>
    <t>Size: 16"
Ratio: 16:10
Resolution:
LED, WQXGA+ 3200 x 2000, 165Hz, 430 nits, DCI-P3 100%, 3ms
LED, WQXGA 2560 x 1600, 240Hz, 500 nits, DCI-P3 100%, 3ms
LED, WUXGA 1920 x 1200, 165Hz, 400 nits, sRGB 100%, 3ms</t>
    <phoneticPr fontId="10" type="noConversion"/>
  </si>
  <si>
    <t>Size: 14.5"
Ratio: 16:10
Resolution:
LED, WQXGA 2560 x 1600, 120Hz, 350 nits, sRGB 100%,
LED, WUXGA 1920 x 1200, 120Hz, 300 nits, sRGB 100%</t>
    <phoneticPr fontId="10" type="noConversion"/>
  </si>
  <si>
    <t>m</t>
  </si>
  <si>
    <r>
      <t xml:space="preserve">Size: 16.0"
Ratio: 16:10
Resolution:
LED, WQXGA 2560 x 1600, 165Hz, 500 nits, sRGB 100%, 3ms
</t>
    </r>
    <r>
      <rPr>
        <sz val="12"/>
        <color rgb="FFFF0000"/>
        <rFont val="Predator"/>
        <family val="3"/>
      </rPr>
      <t>LED, WUXGA 1920 x 1200, 180Hz, 400 nits, sRGB 100%, 3ms</t>
    </r>
    <r>
      <rPr>
        <sz val="12"/>
        <color theme="1"/>
        <rFont val="Predator"/>
        <family val="3"/>
      </rPr>
      <t xml:space="preserve">
LED, WUXGA 1920 x 1200, 165Hz, 400 nits, sRGB 100%, 3ms</t>
    </r>
    <phoneticPr fontId="10" type="noConversion"/>
  </si>
  <si>
    <t>Size: 16.0"
Ratio: 16:10
Resolution: 
LED, WQXGA 2560 x 1600, 165Hz, 500 nits, sRGB 100%, 3ms
LED, WUXGA 1920 x 1200, 165Hz, 400 nits, sRGB 100%, 3ms
LED, WUXGA 1920 x 1200, 165Hz, 300 nits, sRGB 100%,</t>
    <phoneticPr fontId="10" type="noConversion"/>
  </si>
  <si>
    <t>Size: 17.3"
Ratio: 16:9
Resolution: 
LED, QHD 2560 x 1440, 165Hz, 300 nits, DCI-P3 100%, 3ms 
(RTX 4050)
LED, Full HD 1920 x 1080, 165Hz, 300 nits, sRGB 100%, 3ms 
(RTX 4050/RTX 4060)</t>
    <phoneticPr fontId="10" type="noConversion"/>
  </si>
  <si>
    <t>Size: 17.3"
Ratio: 16:9
Resolution: 
LED, QHD 2560 x 1440, 165Hz, 300 nits, DCI-P3 100%, 3ms
LED, Full HD 1920 x 1080, 165Hz, 300 nits, sRGB 100%, 3ms</t>
    <phoneticPr fontId="10" type="noConversion"/>
  </si>
  <si>
    <t>Size: 15.6"
Ratio: 16:9
Resolution: 
LED, Full HD 1920 x 1080, 165Hz, 300 nits, sRGB 100%, 3ms
LED, Full HD 1920 x 1080, 144Hz</t>
    <phoneticPr fontId="10" type="noConversion"/>
  </si>
  <si>
    <r>
      <t>Size: 16.0"
Ratio: 16:10
Resolution:
LED, WQXGA 2560 x 1600, 165Hz ,500 nits, sRGB 100%, 3ms
LED, WUXGA 1920 x 1200, 165Hz, 300 nits, sRGB 100%
LED, WUXGA 1920 x 1200, 165Hz</t>
    </r>
    <r>
      <rPr>
        <sz val="12"/>
        <rFont val="Predator"/>
        <family val="3"/>
      </rPr>
      <t>, color gamut NTSC 45%</t>
    </r>
    <phoneticPr fontId="10" type="noConversion"/>
  </si>
  <si>
    <r>
      <rPr>
        <sz val="12"/>
        <color rgb="FF000000"/>
        <rFont val="Predator"/>
      </rPr>
      <t xml:space="preserve">Size: 16.0"
Ratio: 16:10
Resolution:
</t>
    </r>
    <r>
      <rPr>
        <sz val="12"/>
        <color rgb="FFFF0000"/>
        <rFont val="Predator"/>
      </rPr>
      <t xml:space="preserve">LED, WQXGA 2560 x 1600, 180Hz ,400 nits, sRGB 100%, 3ms
</t>
    </r>
    <r>
      <rPr>
        <sz val="12"/>
        <color rgb="FF000000"/>
        <rFont val="Predator"/>
      </rPr>
      <t>LED, WUXGA 1920 x 1200, 165Hz, 300 nits, sRGB 100%
LED, WUXGA 1920 x 1200, 165Hz, color gamut NTSC 45%</t>
    </r>
  </si>
  <si>
    <t>Size: 14.5"
Ratio: 16:10
Resolution:
LED, WQXGA 2560 x 1600, 120Hz, 350 nits, sRGB 100%
LED, WUXGA 1920 x 1200, 120Hz, 300 nits, sRGB 100%</t>
    <phoneticPr fontId="10" type="noConversion"/>
  </si>
  <si>
    <t>Yes (G-SYNC)</t>
    <phoneticPr fontId="10" type="noConversion"/>
  </si>
  <si>
    <t>Liquid Metal (CPU)
Vector Heat Pipes</t>
    <phoneticPr fontId="10" type="noConversion"/>
  </si>
  <si>
    <t>Liquid Metal (CPU)
Vector Heat Pipes</t>
  </si>
  <si>
    <t>Vortex Flow
Liquid Metal (CPU)
Vector Heat Pipes</t>
    <phoneticPr fontId="10" type="noConversion"/>
  </si>
  <si>
    <t>Vortex Flow
Liquid Metal (CPU)</t>
    <phoneticPr fontId="10" type="noConversion"/>
  </si>
  <si>
    <t>Liquid Metal (CPU)</t>
    <phoneticPr fontId="10" type="noConversion"/>
  </si>
  <si>
    <t>5th AeroBlade Metal Fan*2</t>
    <phoneticPr fontId="10" type="noConversion"/>
  </si>
  <si>
    <t>5th AeroBlade Metal Fan*1
Plastic Fan*1</t>
    <phoneticPr fontId="10" type="noConversion"/>
  </si>
  <si>
    <t>Plastic Fan*2</t>
    <phoneticPr fontId="10" type="noConversion"/>
  </si>
  <si>
    <t>Plastic Fan*1</t>
    <phoneticPr fontId="10" type="noConversion"/>
  </si>
  <si>
    <t>Plastic Fan*2</t>
  </si>
  <si>
    <t>DDR5 5600Hz
Max Capacity; 32 GB</t>
    <phoneticPr fontId="10" type="noConversion"/>
  </si>
  <si>
    <t>DDR5 5600Hz
Max Capacity; 64GB</t>
    <phoneticPr fontId="10" type="noConversion"/>
  </si>
  <si>
    <t>DDR5 5600Hz
Max Capacity; 64 GB</t>
  </si>
  <si>
    <t>LPDDR5X 6400Hz
Max Capacity: 32 GB</t>
    <phoneticPr fontId="10" type="noConversion"/>
  </si>
  <si>
    <t>LPDDR5x 6400Hz
Max Capacity; 32 GB</t>
    <phoneticPr fontId="10" type="noConversion"/>
  </si>
  <si>
    <t>DDR5 4800Hz
Max Capacity; 32 GB</t>
    <phoneticPr fontId="10" type="noConversion"/>
  </si>
  <si>
    <t>DDR5 5200Hz(I5), 5600Hz(I7)
Max Capacity; 32 GB</t>
  </si>
  <si>
    <t>PCIe Gen4 x 4
SSD slot: 2
Up to 4 TB</t>
    <phoneticPr fontId="10" type="noConversion"/>
  </si>
  <si>
    <t>PCIe Gen4 x 4
SSD slot: 2
Up to 2 TB</t>
    <phoneticPr fontId="10" type="noConversion"/>
  </si>
  <si>
    <t>PCIe Gen4 x 2
SSD slot: 2
Up to 2 TB</t>
    <phoneticPr fontId="10" type="noConversion"/>
  </si>
  <si>
    <t>PCIe Gen4 x 4
SSD slot: 1
Up to 1 TB</t>
    <phoneticPr fontId="10" type="noConversion"/>
  </si>
  <si>
    <r>
      <rPr>
        <sz val="12"/>
        <color theme="1"/>
        <rFont val="Predator"/>
        <family val="3"/>
      </rPr>
      <t>PCIe Gen4 x 4
SSD slot: 2
Up to 2 TB</t>
    </r>
    <phoneticPr fontId="10" type="noConversion"/>
  </si>
  <si>
    <t>Wi-Fi 7
Killer DoubleShot™ Pro</t>
    <phoneticPr fontId="10" type="noConversion"/>
  </si>
  <si>
    <t>Wi-Fi 6E 1675i
Killer DoubleShot™ Pro</t>
    <phoneticPr fontId="10" type="noConversion"/>
  </si>
  <si>
    <t>Wi-Fi 6E RZ616E</t>
    <phoneticPr fontId="10" type="noConversion"/>
  </si>
  <si>
    <t>Wi-Fi 6E RZ616E
Killer DoubleShot™ Pro</t>
    <phoneticPr fontId="10" type="noConversion"/>
  </si>
  <si>
    <t>Wi-Fi 6</t>
    <phoneticPr fontId="10" type="noConversion"/>
  </si>
  <si>
    <t>Wi-Fi 6 AX201</t>
    <phoneticPr fontId="10" type="noConversion"/>
  </si>
  <si>
    <t>5.3 or above</t>
    <phoneticPr fontId="10" type="noConversion"/>
  </si>
  <si>
    <t>5.1 or above</t>
    <phoneticPr fontId="10" type="noConversion"/>
  </si>
  <si>
    <t>Killer™ Ethernet E3100G</t>
    <phoneticPr fontId="10" type="noConversion"/>
  </si>
  <si>
    <t>Gigabit Ethernet</t>
    <phoneticPr fontId="10" type="noConversion"/>
  </si>
  <si>
    <t>Gigabit Ethernet</t>
  </si>
  <si>
    <t>Killer™ Ethernet E2600</t>
    <phoneticPr fontId="10" type="noConversion"/>
  </si>
  <si>
    <t>90Whr, up to 6.5 hrs</t>
    <phoneticPr fontId="10" type="noConversion"/>
  </si>
  <si>
    <t>90Whr, up to 5.5 hrs</t>
    <phoneticPr fontId="10" type="noConversion"/>
  </si>
  <si>
    <t>90Whr, up to 6 hrs</t>
    <phoneticPr fontId="10" type="noConversion"/>
  </si>
  <si>
    <t>76Whr, up to 9 hrs</t>
    <phoneticPr fontId="10" type="noConversion"/>
  </si>
  <si>
    <t>76Whr, up to 8.5 hrs</t>
    <phoneticPr fontId="10" type="noConversion"/>
  </si>
  <si>
    <r>
      <t xml:space="preserve">76 Whr, </t>
    </r>
    <r>
      <rPr>
        <sz val="12"/>
        <color theme="1"/>
        <rFont val="Predator"/>
        <family val="3"/>
      </rPr>
      <t>up to 9hrs</t>
    </r>
    <phoneticPr fontId="10" type="noConversion"/>
  </si>
  <si>
    <r>
      <t xml:space="preserve">76Whr, </t>
    </r>
    <r>
      <rPr>
        <sz val="12"/>
        <color theme="1"/>
        <rFont val="Predator"/>
        <family val="3"/>
      </rPr>
      <t>up to 7.5 hrs</t>
    </r>
    <phoneticPr fontId="10" type="noConversion"/>
  </si>
  <si>
    <t>90Whr, up to 9 hrs</t>
    <phoneticPr fontId="10" type="noConversion"/>
  </si>
  <si>
    <r>
      <t xml:space="preserve">76Whr, </t>
    </r>
    <r>
      <rPr>
        <sz val="12"/>
        <color theme="1"/>
        <rFont val="Predator"/>
        <family val="3"/>
      </rPr>
      <t>up to 8 hrs</t>
    </r>
    <phoneticPr fontId="10" type="noConversion"/>
  </si>
  <si>
    <t>90Whr, up to 8 hrs</t>
    <phoneticPr fontId="10" type="noConversion"/>
  </si>
  <si>
    <r>
      <t xml:space="preserve">57Whr, </t>
    </r>
    <r>
      <rPr>
        <sz val="12"/>
        <color theme="1"/>
        <rFont val="Predator"/>
        <family val="3"/>
      </rPr>
      <t>up to 7.5 hrs</t>
    </r>
    <phoneticPr fontId="10" type="noConversion"/>
  </si>
  <si>
    <t>57Whr, up to 7 hrs</t>
    <phoneticPr fontId="10" type="noConversion"/>
  </si>
  <si>
    <t>57Whr, up to 5 hrs</t>
    <phoneticPr fontId="10" type="noConversion"/>
  </si>
  <si>
    <t>57 Whr, up to 6 hrs</t>
    <phoneticPr fontId="10" type="noConversion"/>
  </si>
  <si>
    <t>57Whr, up to 7.5 hrs</t>
  </si>
  <si>
    <r>
      <t xml:space="preserve"> RTX 4080</t>
    </r>
    <r>
      <rPr>
        <sz val="12"/>
        <color theme="1" tint="0.249977111117893"/>
        <rFont val="細明體"/>
        <family val="3"/>
        <charset val="136"/>
      </rPr>
      <t>：</t>
    </r>
    <r>
      <rPr>
        <sz val="12"/>
        <color theme="1" tint="0.249977111117893"/>
        <rFont val="Predator"/>
        <family val="3"/>
      </rPr>
      <t>330W
RTX 4070</t>
    </r>
    <r>
      <rPr>
        <sz val="12"/>
        <color theme="1" tint="0.249977111117893"/>
        <rFont val="細明體"/>
        <family val="3"/>
        <charset val="136"/>
      </rPr>
      <t>：</t>
    </r>
    <r>
      <rPr>
        <sz val="12"/>
        <color theme="1" tint="0.249977111117893"/>
        <rFont val="Predator"/>
        <family val="3"/>
      </rPr>
      <t>330W</t>
    </r>
    <phoneticPr fontId="10" type="noConversion"/>
  </si>
  <si>
    <r>
      <t xml:space="preserve"> RTX 4090</t>
    </r>
    <r>
      <rPr>
        <sz val="12"/>
        <color theme="1" tint="0.249977111117893"/>
        <rFont val="細明體"/>
        <family val="3"/>
        <charset val="136"/>
      </rPr>
      <t>：</t>
    </r>
    <r>
      <rPr>
        <sz val="12"/>
        <color theme="1" tint="0.249977111117893"/>
        <rFont val="Predator"/>
        <family val="3"/>
      </rPr>
      <t>330W
RTX 4080</t>
    </r>
    <r>
      <rPr>
        <sz val="12"/>
        <color theme="1" tint="0.249977111117893"/>
        <rFont val="細明體"/>
        <family val="3"/>
        <charset val="136"/>
      </rPr>
      <t>：</t>
    </r>
    <r>
      <rPr>
        <sz val="12"/>
        <color theme="1" tint="0.249977111117893"/>
        <rFont val="Predator"/>
        <family val="3"/>
      </rPr>
      <t>330W</t>
    </r>
    <phoneticPr fontId="10" type="noConversion"/>
  </si>
  <si>
    <t xml:space="preserve"> RTX 4070: 330W
RTX 4060: 330W
RTX 4050: 230W</t>
    <phoneticPr fontId="10" type="noConversion"/>
  </si>
  <si>
    <t>RTX 4070: 230W
RTX 4060: 230W
RTX 4050: 230W</t>
    <phoneticPr fontId="10" type="noConversion"/>
  </si>
  <si>
    <t>RTX 4060: 230W
RTX 4050: 230W
RTX 3050: 230W</t>
    <phoneticPr fontId="10" type="noConversion"/>
  </si>
  <si>
    <t>RTX 4070: 230W
RTX 4060: 230W</t>
    <phoneticPr fontId="10" type="noConversion"/>
  </si>
  <si>
    <t>RTX 4060: 230W
RTX 4050: 230W</t>
    <phoneticPr fontId="10" type="noConversion"/>
  </si>
  <si>
    <t>RTX 4060: 135W
RTX 4050: 135W
RTX 3050: 135W
RTX 2050: 135W</t>
    <phoneticPr fontId="10" type="noConversion"/>
  </si>
  <si>
    <t>RTX 4050: 135W
RTX 3050: 135W
RTX 2050: 135W</t>
    <phoneticPr fontId="10" type="noConversion"/>
  </si>
  <si>
    <t>RTX 4060: 135W
RTX 4050: 135W
RTX 3050: 135W</t>
    <phoneticPr fontId="10" type="noConversion"/>
  </si>
  <si>
    <t>RTX 4050: 135W
RTX 3050: 135W</t>
  </si>
  <si>
    <r>
      <rPr>
        <b/>
        <u/>
        <sz val="12"/>
        <color theme="1"/>
        <rFont val="Predator"/>
        <family val="3"/>
      </rPr>
      <t xml:space="preserve">TypeC
</t>
    </r>
    <r>
      <rPr>
        <sz val="12"/>
        <color theme="1"/>
        <rFont val="Predator"/>
        <family val="3"/>
      </rPr>
      <t>Thunderbolt™ 4*2</t>
    </r>
    <r>
      <rPr>
        <b/>
        <u/>
        <sz val="12"/>
        <color theme="1"/>
        <rFont val="Predator"/>
        <family val="3"/>
      </rPr>
      <t xml:space="preserve">
USB</t>
    </r>
    <r>
      <rPr>
        <sz val="12"/>
        <color theme="1"/>
        <rFont val="Predator"/>
        <family val="3"/>
      </rPr>
      <t xml:space="preserve">
USB 3.2 Gen 1*1
USB 3.2 Gen 2*2 (one with offline charging)
HDMI 2.1*1
microSD™ Card reader*1
3.5mm Combo Audio Jack*1
RJ-45*1
DC-In*1
K-lock*1</t>
    </r>
  </si>
  <si>
    <r>
      <rPr>
        <b/>
        <u/>
        <sz val="12"/>
        <color theme="1"/>
        <rFont val="Predator"/>
        <family val="3"/>
      </rPr>
      <t xml:space="preserve">TypeC
</t>
    </r>
    <r>
      <rPr>
        <sz val="12"/>
        <color theme="1"/>
        <rFont val="Predator"/>
        <family val="3"/>
      </rPr>
      <t>Thunderbolt™ 4*2</t>
    </r>
    <r>
      <rPr>
        <b/>
        <u/>
        <sz val="12"/>
        <color theme="1"/>
        <rFont val="Predator"/>
        <family val="3"/>
      </rPr>
      <t xml:space="preserve">
USB</t>
    </r>
    <r>
      <rPr>
        <sz val="12"/>
        <color theme="1"/>
        <rFont val="Predator"/>
        <family val="3"/>
      </rPr>
      <t xml:space="preserve">
USB 3.2 Gen 1*1
USB 3.2 Gen 2*2 (one with offline charging)
HDMI 2.1*1
microSD™ Card reader*1
3.5mm Combo Audio Jack*1
RJ-45*1
DC-In*1
K-lock*1</t>
    </r>
    <phoneticPr fontId="10" type="noConversion"/>
  </si>
  <si>
    <r>
      <rPr>
        <b/>
        <u/>
        <sz val="12"/>
        <color theme="1"/>
        <rFont val="Predator"/>
        <family val="3"/>
      </rPr>
      <t xml:space="preserve">TypeC
</t>
    </r>
    <r>
      <rPr>
        <sz val="12"/>
        <color theme="1"/>
        <rFont val="Predator"/>
        <family val="3"/>
      </rPr>
      <t xml:space="preserve">Thunderbolt™ 4*1
USB 3.2 Gen 2 (DP+PD+USB)*1
</t>
    </r>
    <r>
      <rPr>
        <b/>
        <u/>
        <sz val="12"/>
        <color theme="1"/>
        <rFont val="Predator"/>
        <family val="3"/>
      </rPr>
      <t xml:space="preserve">
USB</t>
    </r>
    <r>
      <rPr>
        <sz val="12"/>
        <color theme="1"/>
        <rFont val="Predator"/>
        <family val="3"/>
      </rPr>
      <t xml:space="preserve">
USB 3.2 Gen 2*2 (one with offline charging)
HDMI 2.1*1
microSD™ Card reader*1
3.5mm Combo Audio Jack*1
DC-In*1
K-lock*1</t>
    </r>
    <phoneticPr fontId="10" type="noConversion"/>
  </si>
  <si>
    <r>
      <rPr>
        <b/>
        <u/>
        <sz val="12"/>
        <color theme="1"/>
        <rFont val="Predator"/>
        <family val="3"/>
      </rPr>
      <t>TypeC</t>
    </r>
    <r>
      <rPr>
        <sz val="12"/>
        <color theme="1"/>
        <rFont val="Predator"/>
        <family val="3"/>
      </rPr>
      <t xml:space="preserve">
USB 4*1
USB 3.2 Gen 2 (DP+PD+USB)*1
</t>
    </r>
    <r>
      <rPr>
        <b/>
        <u/>
        <sz val="12"/>
        <color theme="1"/>
        <rFont val="Predator"/>
        <family val="3"/>
      </rPr>
      <t>USB</t>
    </r>
    <r>
      <rPr>
        <sz val="12"/>
        <color theme="1"/>
        <rFont val="Predator"/>
        <family val="3"/>
      </rPr>
      <t xml:space="preserve">
USB 3.2 Gen 2*2 (one with offline charging)
HDMI 2.1*1
microSD™ Card reader*1
3.5mm Combo Audio Jack*1
DC-In*1
K-lock*1</t>
    </r>
    <phoneticPr fontId="10" type="noConversion"/>
  </si>
  <si>
    <r>
      <rPr>
        <b/>
        <u/>
        <sz val="12"/>
        <color theme="1"/>
        <rFont val="Predator"/>
        <family val="3"/>
      </rPr>
      <t xml:space="preserve">TypeC
</t>
    </r>
    <r>
      <rPr>
        <sz val="12"/>
        <color theme="1"/>
        <rFont val="Predator"/>
        <family val="3"/>
      </rPr>
      <t>Thunderbolt™ 4*2</t>
    </r>
    <r>
      <rPr>
        <b/>
        <u/>
        <sz val="12"/>
        <color theme="1"/>
        <rFont val="Predator"/>
        <family val="3"/>
      </rPr>
      <t xml:space="preserve">
USB</t>
    </r>
    <r>
      <rPr>
        <sz val="12"/>
        <color theme="1"/>
        <rFont val="Predator"/>
        <family val="3"/>
      </rPr>
      <t xml:space="preserve">
USB 3.2 Gen 1*2 (one with offline charging)
USB 3.2 Gen 2*1
HDMI 2.1*1
microSD™ Card reader*1
3.5mm Combo Audio Jack*1
RJ-45*1
DC-In*1
K-lock*1</t>
    </r>
    <phoneticPr fontId="10" type="noConversion"/>
  </si>
  <si>
    <r>
      <rPr>
        <b/>
        <u/>
        <sz val="12"/>
        <color theme="1"/>
        <rFont val="Predator"/>
        <family val="3"/>
      </rPr>
      <t xml:space="preserve">TypeC
</t>
    </r>
    <r>
      <rPr>
        <sz val="12"/>
        <color theme="1"/>
        <rFont val="Predator"/>
        <family val="3"/>
      </rPr>
      <t xml:space="preserve">USB 4*1
USB 3.2 Gen 2 (DP+PD+USB)*1
</t>
    </r>
    <r>
      <rPr>
        <b/>
        <u/>
        <sz val="12"/>
        <color theme="1"/>
        <rFont val="Predator"/>
        <family val="3"/>
      </rPr>
      <t xml:space="preserve">
USB</t>
    </r>
    <r>
      <rPr>
        <sz val="12"/>
        <color theme="1"/>
        <rFont val="Predator"/>
        <family val="3"/>
      </rPr>
      <t xml:space="preserve">
USB 2.0*1
USB 3.2 Gen 2*2 (one with offline charging)
HDMI 2.1*1
microSD™ Card reader*1
3.5mm Combo Audio Jack*1
RJ-45*1
DC-In*1
K-lock*1</t>
    </r>
    <phoneticPr fontId="10" type="noConversion"/>
  </si>
  <si>
    <r>
      <rPr>
        <b/>
        <u/>
        <sz val="12"/>
        <color theme="1"/>
        <rFont val="Predator"/>
        <family val="3"/>
      </rPr>
      <t xml:space="preserve">TypeC
</t>
    </r>
    <r>
      <rPr>
        <sz val="12"/>
        <color theme="1"/>
        <rFont val="Predator"/>
        <family val="3"/>
      </rPr>
      <t xml:space="preserve">USB 4*1
USB 3.2 Gen 2 (DP+PD+USB)*1
</t>
    </r>
    <r>
      <rPr>
        <b/>
        <u/>
        <sz val="12"/>
        <color theme="1"/>
        <rFont val="Predator"/>
        <family val="3"/>
      </rPr>
      <t xml:space="preserve">
USB</t>
    </r>
    <r>
      <rPr>
        <sz val="12"/>
        <color theme="1"/>
        <rFont val="Predator"/>
        <family val="3"/>
      </rPr>
      <t xml:space="preserve">
USB 2.0 *1
USB 3.2 Gen 2*2 (one with offline charging)
HDMI 2.1*1
microSD™ Card reader*1
3.5mm Combo Audio Jack*1
RJ-45*1
DC-In*1
K-lock*1</t>
    </r>
    <phoneticPr fontId="10" type="noConversion"/>
  </si>
  <si>
    <r>
      <rPr>
        <b/>
        <u/>
        <sz val="12"/>
        <color theme="1"/>
        <rFont val="Predator"/>
        <family val="3"/>
      </rPr>
      <t xml:space="preserve">TypeC
</t>
    </r>
    <r>
      <rPr>
        <sz val="12"/>
        <color theme="1"/>
        <rFont val="Predator"/>
        <family val="3"/>
      </rPr>
      <t xml:space="preserve">USB 4*1
USB 3.2 Gen 2 (DP+PD+USB)*1
</t>
    </r>
    <r>
      <rPr>
        <b/>
        <u/>
        <sz val="12"/>
        <color theme="1"/>
        <rFont val="Predator"/>
        <family val="3"/>
      </rPr>
      <t xml:space="preserve">
USB</t>
    </r>
    <r>
      <rPr>
        <sz val="12"/>
        <color theme="1"/>
        <rFont val="Predator"/>
        <family val="3"/>
      </rPr>
      <t xml:space="preserve">
USB 2.0*1
USB 3.2 Gen 2*1 (with offline charging)
HDMI 2.1*1
microSD™ Card reader*1
3.5mm Combo Audio Jack*1
RJ-45*1
DC-In*1
K-lock*1</t>
    </r>
    <phoneticPr fontId="10" type="noConversion"/>
  </si>
  <si>
    <r>
      <rPr>
        <b/>
        <u/>
        <sz val="12"/>
        <color theme="1"/>
        <rFont val="Predator"/>
        <family val="3"/>
      </rPr>
      <t xml:space="preserve">TypeC
</t>
    </r>
    <r>
      <rPr>
        <sz val="12"/>
        <color theme="1"/>
        <rFont val="Predator"/>
        <family val="3"/>
      </rPr>
      <t xml:space="preserve">USB 4*1
</t>
    </r>
    <r>
      <rPr>
        <b/>
        <u/>
        <sz val="12"/>
        <color theme="1"/>
        <rFont val="Predator"/>
        <family val="3"/>
      </rPr>
      <t xml:space="preserve">
USB</t>
    </r>
    <r>
      <rPr>
        <sz val="12"/>
        <color theme="1"/>
        <rFont val="Predator"/>
        <family val="3"/>
      </rPr>
      <t xml:space="preserve">
USB 3.2 Gen 1*3 (one with offline charging)
HDMI 2.1*1
3.5mm Combo Audio Jack*1
RJ-45*1
DC-In*1
K-lock*1</t>
    </r>
  </si>
  <si>
    <r>
      <rPr>
        <b/>
        <u/>
        <sz val="12"/>
        <color theme="1"/>
        <rFont val="Predator"/>
        <family val="3"/>
      </rPr>
      <t xml:space="preserve">TypeC
</t>
    </r>
    <r>
      <rPr>
        <sz val="12"/>
        <color theme="1"/>
        <rFont val="Predator"/>
        <family val="3"/>
      </rPr>
      <t xml:space="preserve">USB 4*1
</t>
    </r>
    <r>
      <rPr>
        <b/>
        <u/>
        <sz val="12"/>
        <color theme="1"/>
        <rFont val="Predator"/>
        <family val="3"/>
      </rPr>
      <t xml:space="preserve">
USB</t>
    </r>
    <r>
      <rPr>
        <sz val="12"/>
        <color theme="1"/>
        <rFont val="Predator"/>
        <family val="3"/>
      </rPr>
      <t xml:space="preserve">
USB 3.2 Gen 2*1 (with offline charging)
USB 3.2 Gen 1*1
HDMI 2.1*1
3.5mm Combo Audio Jack*1
RJ-45*1
DC-In*1
K-lock*1</t>
    </r>
    <phoneticPr fontId="10" type="noConversion"/>
  </si>
  <si>
    <r>
      <rPr>
        <b/>
        <u/>
        <sz val="12"/>
        <color theme="1"/>
        <rFont val="Predator"/>
        <family val="3"/>
      </rPr>
      <t xml:space="preserve">TypeC
</t>
    </r>
    <r>
      <rPr>
        <sz val="12"/>
        <color theme="1"/>
        <rFont val="Predator"/>
        <family val="3"/>
      </rPr>
      <t xml:space="preserve">Thunderbolt™ 4*1
</t>
    </r>
    <r>
      <rPr>
        <b/>
        <u/>
        <sz val="12"/>
        <color theme="1"/>
        <rFont val="Predator"/>
        <family val="3"/>
      </rPr>
      <t xml:space="preserve">
USB</t>
    </r>
    <r>
      <rPr>
        <sz val="12"/>
        <color theme="1"/>
        <rFont val="Predator"/>
        <family val="3"/>
      </rPr>
      <t xml:space="preserve">
USB 3.2 Gen 2*1 (with offline charging)
USB 3.2 Gen 1*1
HDMI 2.1*1
3.5mm Combo Audio Jack*1
RJ-45*1
DC-In*1
K-lock*1</t>
    </r>
    <phoneticPr fontId="10" type="noConversion"/>
  </si>
  <si>
    <r>
      <rPr>
        <b/>
        <u/>
        <sz val="12"/>
        <color theme="1"/>
        <rFont val="Predator"/>
        <family val="3"/>
      </rPr>
      <t>TypeC</t>
    </r>
    <r>
      <rPr>
        <sz val="12"/>
        <color theme="1"/>
        <rFont val="Predator"/>
        <family val="3"/>
      </rPr>
      <t xml:space="preserve">
USB 4*1
</t>
    </r>
    <r>
      <rPr>
        <b/>
        <u/>
        <sz val="12"/>
        <color theme="1"/>
        <rFont val="Predator"/>
        <family val="3"/>
      </rPr>
      <t>USB</t>
    </r>
    <r>
      <rPr>
        <sz val="12"/>
        <color theme="1"/>
        <rFont val="Predator"/>
        <family val="3"/>
      </rPr>
      <t xml:space="preserve">
USB 3.2 Gen 1*2 (one with offline charging)
HDMI 2.1*1
microSD™ Card reader*1
3.5mm Combo Audio Jack*1
DC-In*1
K-lock*1</t>
    </r>
    <phoneticPr fontId="10" type="noConversion"/>
  </si>
  <si>
    <r>
      <t>TypeC</t>
    </r>
    <r>
      <rPr>
        <sz val="12"/>
        <color rgb="FF000000"/>
        <rFont val="Predator"/>
        <family val="3"/>
      </rPr>
      <t xml:space="preserve">
Thunderbolt 4*1
 Type-C (TBT4) x 1
USB3.2 (Gen1) (offline charger) x 1
USB3.2 (Gen1) x 2
HDMI x 1
RJ45 x 1
Audio jack (combo) x 1
Speaker x 2
Realtek ALC245
DC-In x 1
K-lock x 1</t>
    </r>
  </si>
  <si>
    <r>
      <t>TypeC</t>
    </r>
    <r>
      <rPr>
        <sz val="12"/>
        <color rgb="FF000000"/>
        <rFont val="Predator"/>
        <family val="3"/>
      </rPr>
      <t xml:space="preserve">
USB 4*1
USB3.2 (Gen1) (offline charger) x 1
USB3.2 (Gen1) x 2
HDMI x 1
RJ45 x 1
Audio jack (combo) x 1
Speaker x 2
Realtek ALC245
DC-In x 1
K-lock x 1</t>
    </r>
  </si>
  <si>
    <t>Per-Key RGB</t>
    <phoneticPr fontId="10" type="noConversion"/>
  </si>
  <si>
    <t>4 Zone RGB</t>
    <phoneticPr fontId="10" type="noConversion"/>
  </si>
  <si>
    <t>3 Zone RGB</t>
    <phoneticPr fontId="10" type="noConversion"/>
  </si>
  <si>
    <t>White color</t>
    <phoneticPr fontId="10" type="noConversion"/>
  </si>
  <si>
    <t>Amber color</t>
    <phoneticPr fontId="10" type="noConversion"/>
  </si>
  <si>
    <t>Black: Amber color
White: Blue color</t>
    <phoneticPr fontId="10" type="noConversion"/>
  </si>
  <si>
    <t>DTS® X:Ultra
Speaker*2</t>
    <phoneticPr fontId="10" type="noConversion"/>
  </si>
  <si>
    <t>DTS® X:Ultra
Speaker x 2</t>
    <phoneticPr fontId="10" type="noConversion"/>
  </si>
  <si>
    <t>3 units</t>
    <phoneticPr fontId="10" type="noConversion"/>
  </si>
  <si>
    <t>2 units</t>
    <phoneticPr fontId="10" type="noConversion"/>
  </si>
  <si>
    <t>FHD 1920 x 1080</t>
    <phoneticPr fontId="10" type="noConversion"/>
  </si>
  <si>
    <t>FHD 1920 x 1080
HD 1280 x 720</t>
    <phoneticPr fontId="10" type="noConversion"/>
  </si>
  <si>
    <t>HD 1280 x 720</t>
    <phoneticPr fontId="10" type="noConversion"/>
  </si>
  <si>
    <t>Windows 11 Home
Windows 11 Pro</t>
    <phoneticPr fontId="10" type="noConversion"/>
  </si>
  <si>
    <t>V5.0.1133</t>
    <phoneticPr fontId="10" type="noConversion"/>
  </si>
  <si>
    <t>v5.0.1254</t>
    <phoneticPr fontId="10" type="noConversion"/>
  </si>
  <si>
    <t>v5.0.1196</t>
    <phoneticPr fontId="10" type="noConversion"/>
  </si>
  <si>
    <t>v5.0.1071</t>
    <phoneticPr fontId="10" type="noConversion"/>
  </si>
  <si>
    <t>v5.0</t>
    <phoneticPr fontId="10" type="noConversion"/>
  </si>
  <si>
    <t>1 Month</t>
    <phoneticPr fontId="10" type="noConversion"/>
  </si>
  <si>
    <t>A: Aluminum (PCR 30%)
B: Plastic
C: Plastic
D: Plastic</t>
    <phoneticPr fontId="10" type="noConversion"/>
  </si>
  <si>
    <t>A: Aluminum (PCR 30%)
B: Plastic
C: Plastic
D: Aluminum (PCR 30%)</t>
    <phoneticPr fontId="10" type="noConversion"/>
  </si>
  <si>
    <t>A: Aluminum (PCR 30%)
B Plastic
C: Aluminum (PCR 35%)
D: Aluminum (PCR 30%)</t>
    <phoneticPr fontId="10" type="noConversion"/>
  </si>
  <si>
    <t>A: Aluminum (PCR 30%)
B: Plastic
C: Plastic
D: Plastic (PCR 35%)</t>
    <phoneticPr fontId="10" type="noConversion"/>
  </si>
  <si>
    <t>A: Aluminum
B: Plastic
C: Plastic
D: Plastic (PCR 35%)</t>
    <phoneticPr fontId="10" type="noConversion"/>
  </si>
  <si>
    <t>A: Plastic
B: Plastic
C: Plastic
D: Plastic (PCR 35%)</t>
    <phoneticPr fontId="10" type="noConversion"/>
  </si>
  <si>
    <t xml:space="preserve">A: Aluminum
B: Plastic
C: Plastic
D: Plastic (PCR 35%)
</t>
    <phoneticPr fontId="10" type="noConversion"/>
  </si>
  <si>
    <t>A: Plastic
B: Plastic
C: Plastic
D: Plastic
(Without PCR, leverage 2023 Sportage_RTH)</t>
    <phoneticPr fontId="10" type="noConversion"/>
  </si>
  <si>
    <t>A: Plastic
B: Plastic
C: Plastic
D: Plastic  (PCR 30%)</t>
    <phoneticPr fontId="10" type="noConversion"/>
  </si>
  <si>
    <t>357.78 x 277.55 x 24.9-26.9 mm</t>
    <phoneticPr fontId="10" type="noConversion"/>
  </si>
  <si>
    <t>404 x 311.6 x 26.9-28.9 mm</t>
    <phoneticPr fontId="10" type="noConversion"/>
  </si>
  <si>
    <t>357.78 x 278.63 x 25.95-27.85 mm</t>
    <phoneticPr fontId="10" type="noConversion"/>
  </si>
  <si>
    <t>404 x 312.08 x 27.15-29.15 mm</t>
    <phoneticPr fontId="10" type="noConversion"/>
  </si>
  <si>
    <t>324.12 x 255.35 x 19.52-20.90 mm</t>
    <phoneticPr fontId="10" type="noConversion"/>
  </si>
  <si>
    <t>356 x 249.17 x 20.83-18.82 mm</t>
    <phoneticPr fontId="10" type="noConversion"/>
  </si>
  <si>
    <t>324.15 x 257.95 x 20.43-21.8 mm</t>
    <phoneticPr fontId="10" type="noConversion"/>
  </si>
  <si>
    <t>357.78 x 277.5 x 22.7-22.4 mm</t>
    <phoneticPr fontId="10" type="noConversion"/>
  </si>
  <si>
    <t>360.1 x 279.9 x 25.9-27.9 mm</t>
    <phoneticPr fontId="10" type="noConversion"/>
  </si>
  <si>
    <t>357.75 x 279.27 x 22.7-26.67 mm</t>
    <phoneticPr fontId="10" type="noConversion"/>
  </si>
  <si>
    <t>400.2 x 293.25 x 27.9-28.9 mm</t>
    <phoneticPr fontId="10" type="noConversion"/>
  </si>
  <si>
    <t>362.3 x 239.89 x 23.5 mm</t>
    <phoneticPr fontId="10" type="noConversion"/>
  </si>
  <si>
    <t>361.8 x 278.4 x 24.74-25.46 mm</t>
    <phoneticPr fontId="10" type="noConversion"/>
  </si>
  <si>
    <t>328.79 x 234.5 x 21.36-22.51mm</t>
    <phoneticPr fontId="10" type="noConversion"/>
  </si>
  <si>
    <t>362.3 x 239.89 x 23.5 mm</t>
  </si>
  <si>
    <t>WQXGA: 2.6 kg
Mini LED: 2.7kg</t>
    <phoneticPr fontId="10" type="noConversion"/>
  </si>
  <si>
    <t>WQXGA: 3.25 kg
Mini LED: 3.25 kg</t>
    <phoneticPr fontId="10" type="noConversion"/>
  </si>
  <si>
    <t>2.8 kg</t>
    <phoneticPr fontId="10" type="noConversion"/>
  </si>
  <si>
    <t>3.4 kg</t>
    <phoneticPr fontId="10" type="noConversion"/>
  </si>
  <si>
    <t>1.9 kg</t>
    <phoneticPr fontId="10" type="noConversion"/>
  </si>
  <si>
    <t>2.05 kg</t>
    <phoneticPr fontId="10" type="noConversion"/>
  </si>
  <si>
    <t>2 kg</t>
    <phoneticPr fontId="10" type="noConversion"/>
  </si>
  <si>
    <t>2.45 kg</t>
    <phoneticPr fontId="10" type="noConversion"/>
  </si>
  <si>
    <t>2.65 kg</t>
    <phoneticPr fontId="10" type="noConversion"/>
  </si>
  <si>
    <t>2.435 kg</t>
    <phoneticPr fontId="10" type="noConversion"/>
  </si>
  <si>
    <t>3.1 kg</t>
    <phoneticPr fontId="10" type="noConversion"/>
  </si>
  <si>
    <t>2.1 kg</t>
    <phoneticPr fontId="10" type="noConversion"/>
  </si>
  <si>
    <t>2.5 kg</t>
    <phoneticPr fontId="10" type="noConversion"/>
  </si>
  <si>
    <t>1.7 kg</t>
    <phoneticPr fontId="10" type="noConversion"/>
  </si>
  <si>
    <t>PredatorSense/NitroSense</t>
    <phoneticPr fontId="10" type="noConversion"/>
  </si>
  <si>
    <t>Jul/M</t>
    <phoneticPr fontId="10" type="noConversion"/>
  </si>
  <si>
    <t>Aug/B</t>
  </si>
  <si>
    <t>2024/11/27(TBD)</t>
  </si>
  <si>
    <t>v6-5</t>
    <phoneticPr fontId="10" type="noConversion"/>
  </si>
  <si>
    <t>v5-4</t>
    <phoneticPr fontId="10" type="noConversion"/>
  </si>
  <si>
    <t>v1-1</t>
    <phoneticPr fontId="10" type="noConversion"/>
  </si>
  <si>
    <t>v2-2</t>
    <phoneticPr fontId="10" type="noConversion"/>
  </si>
  <si>
    <t>v5-5</t>
    <phoneticPr fontId="10" type="noConversion"/>
  </si>
  <si>
    <t>v4-4</t>
    <phoneticPr fontId="10" type="noConversion"/>
  </si>
  <si>
    <t>v3-3</t>
    <phoneticPr fontId="10" type="noConversion"/>
  </si>
  <si>
    <t>Kuo, Stanley</t>
  </si>
  <si>
    <t>Wang, Johnson</t>
    <phoneticPr fontId="10" type="noConversion"/>
  </si>
  <si>
    <t>V</t>
    <phoneticPr fontId="10" type="noConversion"/>
  </si>
  <si>
    <t>MASTER SPEC SHEET - 2024 GAMING NETWORKING PROJECTS</t>
  </si>
  <si>
    <t>PREDATOR CONNECT T7 WI-FI 7 MESH ROUTER</t>
  </si>
  <si>
    <t>Unique Feature/Green Design</t>
  </si>
  <si>
    <t>Wi-Fi Standard</t>
  </si>
  <si>
    <t>WiFi 6E (802.11ax)</t>
  </si>
  <si>
    <t>Wi-FI Speed</t>
    <phoneticPr fontId="10" type="noConversion"/>
  </si>
  <si>
    <t>2.4GHz AX: 2x2(Tx/Rx) 1024/256-QAM 20/40MHz, up to 574Mbps
5GHz AX: 2x2(Tx/Rx) 1024/256-QAM 20/40/80MHz, up to 1201 Mbps
6GHz AX: 4x4(Tx/Rx) 1024/256-QAM 20/40/80/160MHz, up to 4804 Mbps</t>
  </si>
  <si>
    <t>Wi-Fi Encryption</t>
  </si>
  <si>
    <t>WPA-PSK
WPA2-PSK
WPA3-PSK</t>
  </si>
  <si>
    <t>Operating Frequency</t>
  </si>
  <si>
    <t>2.4GHz / 5GHz/ 6GHz</t>
  </si>
  <si>
    <t>1.8GHz quad-core processor</t>
  </si>
  <si>
    <t>256MB NAND flash and 1GB DDR3 SDRAM</t>
  </si>
  <si>
    <t>Antenna</t>
  </si>
  <si>
    <t>High-performance RGB antenna x 6</t>
  </si>
  <si>
    <t>Software</t>
  </si>
  <si>
    <t>Connectivity</t>
  </si>
  <si>
    <t>Ethernet Port</t>
  </si>
  <si>
    <t>Button Key</t>
  </si>
  <si>
    <t>LED Indication</t>
  </si>
  <si>
    <t>SIM</t>
  </si>
  <si>
    <t>Web</t>
  </si>
  <si>
    <t>Power</t>
  </si>
  <si>
    <t>Temperature &amp; Humidity</t>
  </si>
  <si>
    <t>Certification</t>
  </si>
  <si>
    <t>Material</t>
  </si>
  <si>
    <t>Wi-Fi Technology</t>
  </si>
  <si>
    <t>Band Support</t>
  </si>
  <si>
    <t>Speed and Performance</t>
  </si>
  <si>
    <t>Mesh Network</t>
  </si>
  <si>
    <t>Capacity</t>
  </si>
  <si>
    <t>Environment Friendly</t>
    <phoneticPr fontId="10" type="noConversion"/>
  </si>
  <si>
    <t>Ethernet Ports</t>
  </si>
  <si>
    <t>Power Adapter</t>
    <phoneticPr fontId="10" type="noConversion"/>
  </si>
  <si>
    <t>Button</t>
    <phoneticPr fontId="10" type="noConversion"/>
  </si>
  <si>
    <t>Antennas</t>
  </si>
  <si>
    <t>IO Interface</t>
  </si>
  <si>
    <t>Thermal</t>
  </si>
  <si>
    <t>MASTER SPEC SHEET - 2024 GAMING DESKTOP PROJECTS</t>
  </si>
  <si>
    <t>ORION X</t>
    <phoneticPr fontId="10" type="noConversion"/>
  </si>
  <si>
    <t>ORION 5000</t>
  </si>
  <si>
    <t xml:space="preserve">Nitro 70 </t>
    <phoneticPr fontId="10" type="noConversion"/>
  </si>
  <si>
    <t>POX-955</t>
    <phoneticPr fontId="10" type="noConversion"/>
  </si>
  <si>
    <t>POX-655</t>
    <phoneticPr fontId="10" type="noConversion"/>
  </si>
  <si>
    <t>PO7-655</t>
  </si>
  <si>
    <t>PO5-655</t>
  </si>
  <si>
    <t>PO3-655</t>
    <phoneticPr fontId="10" type="noConversion"/>
  </si>
  <si>
    <t>N50-656</t>
  </si>
  <si>
    <t>N50-130</t>
    <phoneticPr fontId="10" type="noConversion"/>
  </si>
  <si>
    <t>N70-130</t>
  </si>
  <si>
    <t>Rimac</t>
  </si>
  <si>
    <t>Aperta</t>
  </si>
  <si>
    <t>Regal</t>
  </si>
  <si>
    <t xml:space="preserve">Romeo </t>
  </si>
  <si>
    <t>Aperta RPL-S Refresh</t>
  </si>
  <si>
    <t>DIY-friendly tool-less design
16.7M Colors ARGB Pulsar lighting</t>
    <phoneticPr fontId="10" type="noConversion"/>
  </si>
  <si>
    <t>EMI compliant tempered glass side panel</t>
    <phoneticPr fontId="10" type="noConversion"/>
  </si>
  <si>
    <t>Predator Sense</t>
  </si>
  <si>
    <t>Nitro Sense</t>
    <phoneticPr fontId="10" type="noConversion"/>
  </si>
  <si>
    <t>Intel® Core™ i9-14900KS processors
Intel® Core™ i9-14900KF processors
Intel® Core™ i7 14700KF processors</t>
  </si>
  <si>
    <t>Intel® Core™ i7-14700F processors
Intel® Core™ i5-14400F processors</t>
    <phoneticPr fontId="10" type="noConversion"/>
  </si>
  <si>
    <t>Intel® Core™ i9-14900K processors
Intel® Core™ i9-14900KF processors
Intel® Core™ i7-14700K processors
Intel® Core™ i7-14700KF processors</t>
    <phoneticPr fontId="10" type="noConversion"/>
  </si>
  <si>
    <t>Intel® Core™ i7-14700F processors
Intel® Core™ i7-14700 processors
Intel® Core™ i5-14400F processors
Intel® Core™ i5-14400 processors</t>
    <phoneticPr fontId="10" type="noConversion"/>
  </si>
  <si>
    <r>
      <rPr>
        <sz val="11"/>
        <color rgb="FF0070C0"/>
        <rFont val="Predator"/>
        <family val="3"/>
      </rPr>
      <t>Intel® Core™ i7-14700 processors</t>
    </r>
    <r>
      <rPr>
        <sz val="11"/>
        <color theme="1" tint="0.249977111117893"/>
        <rFont val="Predator"/>
        <family val="3"/>
      </rPr>
      <t xml:space="preserve">, Intel® UHD Graphics 770
</t>
    </r>
    <r>
      <rPr>
        <sz val="11"/>
        <color rgb="FF0070C0"/>
        <rFont val="Predator"/>
        <family val="3"/>
      </rPr>
      <t>Intel® Core™ i7-14700F processors</t>
    </r>
    <r>
      <rPr>
        <sz val="11"/>
        <color theme="1" tint="0.249977111117893"/>
        <rFont val="Predator"/>
        <family val="3"/>
      </rPr>
      <t xml:space="preserve">
</t>
    </r>
    <r>
      <rPr>
        <sz val="11"/>
        <color rgb="FF0070C0"/>
        <rFont val="Predator"/>
        <family val="3"/>
      </rPr>
      <t xml:space="preserve">Intel® Core™ i5-14400 processors, </t>
    </r>
    <r>
      <rPr>
        <sz val="11"/>
        <color theme="1" tint="0.249977111117893"/>
        <rFont val="Predator"/>
        <family val="3"/>
      </rPr>
      <t xml:space="preserve">Intel® UHD Graphics 770 / 730
</t>
    </r>
    <r>
      <rPr>
        <sz val="11"/>
        <color rgb="FF0070C0"/>
        <rFont val="Predator"/>
        <family val="3"/>
      </rPr>
      <t xml:space="preserve">Intel® Core™ i5-14400F processors
</t>
    </r>
    <phoneticPr fontId="10" type="noConversion"/>
  </si>
  <si>
    <r>
      <rPr>
        <sz val="11"/>
        <color rgb="FF0070C0"/>
        <rFont val="Predator"/>
        <family val="3"/>
      </rPr>
      <t>Intel® Core™ i7-14700 processors</t>
    </r>
    <r>
      <rPr>
        <sz val="11"/>
        <color theme="1" tint="0.249977111117893"/>
        <rFont val="Predator"/>
        <family val="3"/>
      </rPr>
      <t xml:space="preserve">, Intel® UHD Graphics 770
</t>
    </r>
    <r>
      <rPr>
        <sz val="11"/>
        <color rgb="FF0070C0"/>
        <rFont val="Predator"/>
        <family val="3"/>
      </rPr>
      <t>Intel® Core™ i7-14700F processors</t>
    </r>
    <r>
      <rPr>
        <sz val="11"/>
        <color theme="1" tint="0.249977111117893"/>
        <rFont val="Predator"/>
        <family val="3"/>
      </rPr>
      <t xml:space="preserve">
</t>
    </r>
    <r>
      <rPr>
        <sz val="11"/>
        <color rgb="FF0070C0"/>
        <rFont val="Predator"/>
        <family val="3"/>
      </rPr>
      <t>Intel® Core™ i5-14400 processors</t>
    </r>
    <r>
      <rPr>
        <sz val="11"/>
        <color theme="1" tint="0.249977111117893"/>
        <rFont val="Predator"/>
        <family val="3"/>
      </rPr>
      <t xml:space="preserve">, Intel® UHD Graphics 770 / 730
</t>
    </r>
    <r>
      <rPr>
        <sz val="11"/>
        <color rgb="FF0070C0"/>
        <rFont val="Predator"/>
        <family val="3"/>
      </rPr>
      <t>Intel® Core™ i5-14400F processors</t>
    </r>
    <r>
      <rPr>
        <sz val="11"/>
        <color theme="1" tint="0.249977111117893"/>
        <rFont val="Predator"/>
        <family val="3"/>
      </rPr>
      <t xml:space="preserve">
</t>
    </r>
    <phoneticPr fontId="10" type="noConversion"/>
  </si>
  <si>
    <r>
      <rPr>
        <sz val="11"/>
        <color rgb="FFC00000"/>
        <rFont val="Predator"/>
        <family val="3"/>
      </rPr>
      <t xml:space="preserve">AMD Ryzen™ 9 7900 Desktop Processor
</t>
    </r>
    <r>
      <rPr>
        <sz val="11"/>
        <color theme="1"/>
        <rFont val="Predator"/>
        <family val="3"/>
      </rPr>
      <t>(12-core/24-thread, 76MB cache, up to 5.4 GHz max boost)</t>
    </r>
    <r>
      <rPr>
        <sz val="11"/>
        <color rgb="FFC00000"/>
        <rFont val="Predator"/>
        <family val="3"/>
      </rPr>
      <t xml:space="preserve">
AMD Ryzen™ 7 7700 Desktop Processor
</t>
    </r>
    <r>
      <rPr>
        <sz val="11"/>
        <color theme="1"/>
        <rFont val="Predator"/>
        <family val="3"/>
      </rPr>
      <t>(8-core/16-thread, 40MB cache, up to 5.3 GHz max boost)</t>
    </r>
    <r>
      <rPr>
        <sz val="11"/>
        <color rgb="FFC00000"/>
        <rFont val="Predator"/>
        <family val="3"/>
      </rPr>
      <t xml:space="preserve">
AMD Ryzen™ 5 7600 Desktop Processor</t>
    </r>
    <r>
      <rPr>
        <sz val="11"/>
        <color theme="1" tint="0.249977111117893"/>
        <rFont val="Predator"/>
        <family val="3"/>
      </rPr>
      <t xml:space="preserve">
(6-core/12-thread, 38MB cache, up to 5.1 GHz max boost)</t>
    </r>
    <phoneticPr fontId="10" type="noConversion"/>
  </si>
  <si>
    <t>Chipset</t>
    <phoneticPr fontId="10" type="noConversion"/>
  </si>
  <si>
    <t>Intel® Z790 Chipset</t>
    <phoneticPr fontId="10" type="noConversion"/>
  </si>
  <si>
    <t>Intel® H770 Chipset</t>
    <phoneticPr fontId="10" type="noConversion"/>
  </si>
  <si>
    <t>Intel® B760 Chipset</t>
    <phoneticPr fontId="10" type="noConversion"/>
  </si>
  <si>
    <t>i9KS: 150W
i9KF: 125W
i7: 125W</t>
    <phoneticPr fontId="10" type="noConversion"/>
  </si>
  <si>
    <t>i7: 65W
i5: 65W</t>
    <phoneticPr fontId="10" type="noConversion"/>
  </si>
  <si>
    <t>i9: 125W
i7: 125W</t>
    <phoneticPr fontId="10" type="noConversion"/>
  </si>
  <si>
    <t>i7: 125W
i5: 65W</t>
    <phoneticPr fontId="10" type="noConversion"/>
  </si>
  <si>
    <t>R9: 65W
R7: 65W
R5: 65W</t>
    <phoneticPr fontId="10" type="noConversion"/>
  </si>
  <si>
    <t>NVIDIA® GeForce RTX™ 4090 24 GB 
NVIDIA® GeForce RTX™ 4080 SUPER 16 GB</t>
    <phoneticPr fontId="10" type="noConversion"/>
  </si>
  <si>
    <t>NVIDIA® GeForce RTX™ 4080 SUPER 16 GB</t>
    <phoneticPr fontId="10" type="noConversion"/>
  </si>
  <si>
    <t xml:space="preserve">NVIDIA® GeForce RTX™ 4090 24 GB
NVIDIA® GeForce RTX™ 4080 16 GB
NVIDIA® GeForce RTX™ 4070 Ti 12 GB </t>
    <phoneticPr fontId="10" type="noConversion"/>
  </si>
  <si>
    <t>NVIDIA® GeForce RTX™ 4080 16 GB
NVIDIA® GeForce RTX™ 4070 Ti 12 GB 
NVIDIA® GeForce RTX™ 4070 12 GB</t>
    <phoneticPr fontId="10" type="noConversion"/>
  </si>
  <si>
    <t>NVIDIA® GeForce RTX™ 4070 SUPER 12 GB 
NVIDIA® GeForce RTX™ 4070 12 GB
NVIDIA® GeForce RTX™ 4060 8 GB</t>
    <phoneticPr fontId="10" type="noConversion"/>
  </si>
  <si>
    <t>NVIDIA® GeForce RTX™ 4060 8 GB
NVIDIA® GeForce RTX™ 3050 8 GB
Intel® Arc™ A380 Graphics 6 GB</t>
    <phoneticPr fontId="10" type="noConversion"/>
  </si>
  <si>
    <t>NVIDIA® GeForce RTX™ 4060 8 GB
NVIDIA® GeForce RTX™ 3050 8 GB</t>
    <phoneticPr fontId="10" type="noConversion"/>
  </si>
  <si>
    <t>NVIDIA® GeForce RTX™ 4070 12 GB
NVIDIA® GeForce RTX™ 4060 8 GB</t>
    <phoneticPr fontId="10" type="noConversion"/>
  </si>
  <si>
    <t>Graphic Card Power
Max Graphic Power [MGP]</t>
  </si>
  <si>
    <t>RTX 4090: 450W
RTX 4080 SUPER: 320W</t>
    <phoneticPr fontId="10" type="noConversion"/>
  </si>
  <si>
    <t>RTX 4080 SUPER: 320W</t>
    <phoneticPr fontId="10" type="noConversion"/>
  </si>
  <si>
    <t>RTX 4090: 450W
RTX 4080: 320W
RTX 4070 Ti: 285W</t>
    <phoneticPr fontId="10" type="noConversion"/>
  </si>
  <si>
    <t>RTX 4080: 320W
RTX 4070 Ti: 285W
RTX 4070: 200W</t>
    <phoneticPr fontId="10" type="noConversion"/>
  </si>
  <si>
    <t>RTX 4070 SUPER: 220W
RTX 4070: 200W
RTX 4060: 115W</t>
    <phoneticPr fontId="10" type="noConversion"/>
  </si>
  <si>
    <t>RTX 4060: 115W
RTX 3050: 120W
Arc A380: 75W</t>
    <phoneticPr fontId="10" type="noConversion"/>
  </si>
  <si>
    <t>RTX 4060: W
RTX 3050: W</t>
    <phoneticPr fontId="10" type="noConversion"/>
  </si>
  <si>
    <t>RTX 4070: W
RTX 4060: W</t>
    <phoneticPr fontId="10" type="noConversion"/>
  </si>
  <si>
    <t>Cooling</t>
  </si>
  <si>
    <t>AIO CPU liquid cooler
GPU liquid cooler (RTX 4090)</t>
    <phoneticPr fontId="10" type="noConversion"/>
  </si>
  <si>
    <t>240mm Liquid Cooling</t>
    <phoneticPr fontId="10" type="noConversion"/>
  </si>
  <si>
    <t>Fans</t>
    <phoneticPr fontId="10" type="noConversion"/>
  </si>
  <si>
    <t>12cm System fan</t>
    <phoneticPr fontId="10" type="noConversion"/>
  </si>
  <si>
    <t>FrostBlade 3.0</t>
    <phoneticPr fontId="10" type="noConversion"/>
  </si>
  <si>
    <t>9cm System fan</t>
    <phoneticPr fontId="10" type="noConversion"/>
  </si>
  <si>
    <t>32/16 GB DDR5 5600/6000XMP MHz RGB
Up to 64 GB of Dual-channel DDR5 MHz</t>
    <phoneticPr fontId="10" type="noConversion"/>
  </si>
  <si>
    <t>16/8 GB DDR5 4800 MHz UDIMM
Up to 64 GB of Dual-channel DDR5 4000 MHz</t>
    <phoneticPr fontId="10" type="noConversion"/>
  </si>
  <si>
    <t>16/8 GB DDR5 5600 MHz UDIMM
Up to 64 GB of Dual-channel DDR5 4000 MHz</t>
    <phoneticPr fontId="10" type="noConversion"/>
  </si>
  <si>
    <t>16/8 GB DDR5 5600 MHz UDIMM
16/8 GB DDR5 4800 MHz UDIMM
Up to 32 GB of Dual-channel DDR5 5600 MHz</t>
    <phoneticPr fontId="10" type="noConversion"/>
  </si>
  <si>
    <t>16/8 GB DDR5 4800 MHz UDIMM
Up to 32 GB of Dual-channel DDR5 4800 MHz</t>
    <phoneticPr fontId="10" type="noConversion"/>
  </si>
  <si>
    <t>1024 GB M.2 2280 PCI-e Gen4 Performance SSD
1024/512 GB M.2 2280 PCI-e Gen4 SSD
1 TB 2.5-inch 5400 RPM</t>
    <phoneticPr fontId="10" type="noConversion"/>
  </si>
  <si>
    <t>1024/512 GB M.2 2280 PCI-e Gen4 Performance SSD
1024 GB M.2 2280 PCI-e Gen4 SSD
3/2/1 TB 3.5-inch 7200 RPM</t>
    <phoneticPr fontId="10" type="noConversion"/>
  </si>
  <si>
    <t>1024/512 GB M.2 2280 PCI-e Gen4 Performance SSD
3/2/1 TB 3.5-inch 7200 RPM</t>
    <phoneticPr fontId="10" type="noConversion"/>
  </si>
  <si>
    <t>1024/512 GB M.2 2280 PCI-e Gen4 Performance SSD
1024/512/256 GB M.2 2280 PCI-e Gen4 SSD
3/2/1 TB 3.5-inch 7200 RPM</t>
    <phoneticPr fontId="10" type="noConversion"/>
  </si>
  <si>
    <t>1024/512 GB M.2 2280 PCI-e Gen4 Performance SSD
1024/512/256 GB M.2 2280 PCI-e Gen4 SSD
2/1 TB 3.5-inch 7200 RPM</t>
    <phoneticPr fontId="10" type="noConversion"/>
  </si>
  <si>
    <t>1024/512/256 GB M.2 2280 PCI-e Gen4 SSD
2/1 TB 3.5-inch 7200 RPM</t>
    <phoneticPr fontId="10" type="noConversion"/>
  </si>
  <si>
    <t>Storage slot</t>
    <phoneticPr fontId="10" type="noConversion"/>
  </si>
  <si>
    <t>Killer™ E3100G 2.5G Ethernet</t>
  </si>
  <si>
    <t>Realtek® 8118AS Dragon Gigabit Ethernet</t>
  </si>
  <si>
    <t>Wi-Fi 6E</t>
    <phoneticPr fontId="10" type="noConversion"/>
  </si>
  <si>
    <t>Wi-Fi 6E/6</t>
    <phoneticPr fontId="10" type="noConversion"/>
  </si>
  <si>
    <t>850W, 80 PLUS Gold, SFX</t>
  </si>
  <si>
    <t>1200 W, 80 PLUS Platinum, ATX
800 W PFC, 80PLUS# Gold, ATX</t>
    <phoneticPr fontId="10" type="noConversion"/>
  </si>
  <si>
    <t>800 W PFC, 80PLUS# Gold, ATX</t>
    <phoneticPr fontId="10" type="noConversion"/>
  </si>
  <si>
    <t>500 W PFC, auto-sensing, 80PLUS® Gold, ATX
750 W PFC, 80PLUS® Gold, ATX</t>
    <phoneticPr fontId="10" type="noConversion"/>
  </si>
  <si>
    <t>500 W PFC, auto-sensing, 80PLUS® Gold, ATX</t>
    <phoneticPr fontId="10" type="noConversion"/>
  </si>
  <si>
    <t>750 W PFC, 80PLUS# Gold, ATX</t>
  </si>
  <si>
    <r>
      <rPr>
        <u/>
        <sz val="11"/>
        <color theme="1" tint="0.249977111117893"/>
        <rFont val="Predator"/>
        <family val="3"/>
      </rPr>
      <t>Front/Side I/O connectors</t>
    </r>
    <r>
      <rPr>
        <sz val="11"/>
        <color theme="1" tint="0.249977111117893"/>
        <rFont val="Predator"/>
        <family val="3"/>
      </rPr>
      <t xml:space="preserve">
• Audio jack(s): 2
• USB 3.2 Gen1 5Gbps Type A port(s): 1
• USB 3.2 Gen1 5Gbps Type C port(s): 1
</t>
    </r>
    <r>
      <rPr>
        <u/>
        <sz val="11"/>
        <color theme="1" tint="0.249977111117893"/>
        <rFont val="Predator"/>
        <family val="3"/>
      </rPr>
      <t>Rear I/O connectors</t>
    </r>
    <r>
      <rPr>
        <sz val="11"/>
        <color theme="1" tint="0.249977111117893"/>
        <rFont val="Predator"/>
        <family val="3"/>
      </rPr>
      <t xml:space="preserve">
• LAN port(s): 1
• Audio jack(s): 3
• USB 2.0 Type A port(s): 2
• USB 3.2 Gen2 10Gbps Type A port(s): 3
• USB 3.2 Gen2x2 20Gbps Type C port(s): 1</t>
    </r>
    <phoneticPr fontId="10" type="noConversion"/>
  </si>
  <si>
    <r>
      <rPr>
        <u/>
        <sz val="11"/>
        <color theme="1" tint="0.249977111117893"/>
        <rFont val="Predator"/>
        <family val="3"/>
      </rPr>
      <t>Front/Side I/O connectors</t>
    </r>
    <r>
      <rPr>
        <sz val="11"/>
        <color theme="1" tint="0.249977111117893"/>
        <rFont val="Predator"/>
        <family val="3"/>
      </rPr>
      <t xml:space="preserve">
• Card reader: N
• Audio jack(s): 2
• USB 3.2 Gen2 10Gbps Type A port(s): 1
• USB 3.2 Gen2x2 20Gbps Type C port(s): 1
</t>
    </r>
    <r>
      <rPr>
        <u/>
        <sz val="11"/>
        <color theme="1" tint="0.249977111117893"/>
        <rFont val="Predator"/>
        <family val="3"/>
      </rPr>
      <t>Rear I/O connectors</t>
    </r>
    <r>
      <rPr>
        <sz val="11"/>
        <color theme="1" tint="0.249977111117893"/>
        <rFont val="Predator"/>
        <family val="3"/>
      </rPr>
      <t xml:space="preserve">
• LAN port(s): 1
• Audio jack(s): 3
• USB 2.0 Type A port(s): 2
• USB 3.2 Gen1 5Gbps Type A port(s): 1
• USB 3.2 Gen2 10Gbps Type A port(s): 1
• USB 3.2 Gen2x2 20Gbps Type C port(s): 1</t>
    </r>
    <phoneticPr fontId="10" type="noConversion"/>
  </si>
  <si>
    <r>
      <rPr>
        <u/>
        <sz val="11"/>
        <color theme="1" tint="0.249977111117893"/>
        <rFont val="Predator"/>
        <family val="3"/>
      </rPr>
      <t>Front/Side I/O connectors</t>
    </r>
    <r>
      <rPr>
        <sz val="11"/>
        <color theme="1" tint="0.249977111117893"/>
        <rFont val="Predator"/>
        <family val="3"/>
      </rPr>
      <t xml:space="preserve">
• Audio jack(s): 2
• USB 3.2 Gen1 5Gbps Type A port(s): 3
• USB 3.2 Gen1 5Gbps Type C port(s): 1
</t>
    </r>
    <r>
      <rPr>
        <u/>
        <sz val="11"/>
        <color theme="1" tint="0.249977111117893"/>
        <rFont val="Predator"/>
        <family val="3"/>
      </rPr>
      <t>Rear I/O connectors</t>
    </r>
    <r>
      <rPr>
        <sz val="11"/>
        <color theme="1" tint="0.249977111117893"/>
        <rFont val="Predator"/>
        <family val="3"/>
      </rPr>
      <t xml:space="preserve">
• LAN port(s): 1
• Audio jack(s): 3
• USB 2.0 Type A port(s): 2
• USB 3.2 Gen2 10Gbps Type A port(s): 3
• USB 3.2 Gen2 10Gbps Type C port(s): 2
• USB 3.2 Gen2x2 20Gbps Type C port(s): 1
</t>
    </r>
    <phoneticPr fontId="10" type="noConversion"/>
  </si>
  <si>
    <r>
      <rPr>
        <u/>
        <sz val="11"/>
        <color theme="1" tint="0.249977111117893"/>
        <rFont val="Predator"/>
        <family val="3"/>
      </rPr>
      <t>Front/Side I/O connectors</t>
    </r>
    <r>
      <rPr>
        <sz val="11"/>
        <color theme="1" tint="0.249977111117893"/>
        <rFont val="Predator"/>
        <family val="3"/>
      </rPr>
      <t xml:space="preserve">
• Audio jack(s): 2
• USB 3.2 Gen1 5Gbps Type A port(s): 3
• USB 3.2 Gen1 5Gbps Type C port(s): 1
</t>
    </r>
    <r>
      <rPr>
        <u/>
        <sz val="11"/>
        <color theme="1" tint="0.249977111117893"/>
        <rFont val="Predator"/>
        <family val="3"/>
      </rPr>
      <t>Rear I/O connectors</t>
    </r>
    <r>
      <rPr>
        <sz val="11"/>
        <color theme="1" tint="0.249977111117893"/>
        <rFont val="Predator"/>
        <family val="3"/>
      </rPr>
      <t xml:space="preserve">
• LAN port(s): 1
• Audio jack(s): 3
• USB 2.0 Type A port(s): 4
• USB 3.2 Gen2 10Gbps Type A port(s): 1
• USB 3.2 Gen2x2 20Gbps Type C port(s): 1</t>
    </r>
    <phoneticPr fontId="10" type="noConversion"/>
  </si>
  <si>
    <r>
      <rPr>
        <u/>
        <sz val="11"/>
        <color theme="1" tint="0.249977111117893"/>
        <rFont val="Predator"/>
        <family val="3"/>
      </rPr>
      <t>Front/Side I/O connectors</t>
    </r>
    <r>
      <rPr>
        <sz val="11"/>
        <color theme="1" tint="0.249977111117893"/>
        <rFont val="Predator"/>
        <family val="3"/>
      </rPr>
      <t xml:space="preserve">
• Audio jack(s): 2
• USB 3.2 Gen2 10Gbps Type A port(s): 1
• USB 3.2 Gen2x2 20Gbps Type C port(s): 1
</t>
    </r>
    <r>
      <rPr>
        <u/>
        <sz val="11"/>
        <color theme="1" tint="0.249977111117893"/>
        <rFont val="Predator"/>
        <family val="3"/>
      </rPr>
      <t>Rear I/O connectors</t>
    </r>
    <r>
      <rPr>
        <sz val="11"/>
        <color theme="1" tint="0.249977111117893"/>
        <rFont val="Predator"/>
        <family val="3"/>
      </rPr>
      <t xml:space="preserve">
• LAN port(s): 1
• Audio jack(s): 3
• USB 2.0 Type A port(s): 4
• USB 3.2 Gen1 5Gbps Type A port(s): 2</t>
    </r>
    <phoneticPr fontId="10" type="noConversion"/>
  </si>
  <si>
    <r>
      <rPr>
        <u/>
        <sz val="11"/>
        <color theme="1" tint="0.249977111117893"/>
        <rFont val="Predator"/>
        <family val="3"/>
      </rPr>
      <t>Front/Side I/O connectors</t>
    </r>
    <r>
      <rPr>
        <sz val="11"/>
        <color theme="1" tint="0.249977111117893"/>
        <rFont val="Predator"/>
        <family val="3"/>
      </rPr>
      <t xml:space="preserve">
• Card reader: N
• Audio jack(s): 2
• USB 3.2 Gen2 10Gbps Type A port(s): 1
• USB 3.2 Gen2x2 20Gbps Type C port(s): 1
</t>
    </r>
    <r>
      <rPr>
        <u/>
        <sz val="11"/>
        <color theme="1" tint="0.249977111117893"/>
        <rFont val="Predator"/>
        <family val="3"/>
      </rPr>
      <t>Rear I/O connectors</t>
    </r>
    <r>
      <rPr>
        <sz val="11"/>
        <color theme="1" tint="0.249977111117893"/>
        <rFont val="Predator"/>
        <family val="3"/>
      </rPr>
      <t xml:space="preserve">
• LAN port(s): 1
• Audio jack(s): 3
• USB 2.0 Type A port(s): 4
• USB 3.2 Gen1 5Gbps Type A port(s): 2</t>
    </r>
    <phoneticPr fontId="10" type="noConversion"/>
  </si>
  <si>
    <r>
      <rPr>
        <u/>
        <sz val="11"/>
        <color theme="1" tint="0.249977111117893"/>
        <rFont val="Predator"/>
        <family val="3"/>
      </rPr>
      <t>Front/Side I/O connectors</t>
    </r>
    <r>
      <rPr>
        <sz val="11"/>
        <color theme="1" tint="0.249977111117893"/>
        <rFont val="Predator"/>
        <family val="3"/>
      </rPr>
      <t xml:space="preserve">
• Card reader: N
• Audio jack(s): 2
• USB 3.2 Gen1 5Gbps Type A port(s): 2
</t>
    </r>
    <r>
      <rPr>
        <u/>
        <sz val="11"/>
        <color theme="1" tint="0.249977111117893"/>
        <rFont val="Predator"/>
        <family val="3"/>
      </rPr>
      <t>Rear I/O connectors</t>
    </r>
    <r>
      <rPr>
        <sz val="11"/>
        <color theme="1" tint="0.249977111117893"/>
        <rFont val="Predator"/>
        <family val="3"/>
      </rPr>
      <t xml:space="preserve">
• LAN port(s): 1
• Audio jack(s): 3
• USB 2.0 Type A port(s): 2
• USB 3.2 Gen2 10Gbps Type A port(s): 3
• USB 3.2 Gen2x2 20Gbps Type C port(s): 1</t>
    </r>
    <phoneticPr fontId="10" type="noConversion"/>
  </si>
  <si>
    <r>
      <rPr>
        <u/>
        <sz val="11"/>
        <color theme="1" tint="0.249977111117893"/>
        <rFont val="Predator"/>
        <family val="3"/>
      </rPr>
      <t>Front/Side I/O connectors</t>
    </r>
    <r>
      <rPr>
        <sz val="11"/>
        <color theme="1" tint="0.249977111117893"/>
        <rFont val="Predator"/>
        <family val="3"/>
      </rPr>
      <t xml:space="preserve">
• Card reader: N
• Audio jack(s): 2
• USB 3.2 Gen1 Type A port(s): 3
• USB 3.2 Gen1 Type C port(s): 1
</t>
    </r>
    <r>
      <rPr>
        <u/>
        <sz val="11"/>
        <color theme="1" tint="0.249977111117893"/>
        <rFont val="Predator"/>
        <family val="3"/>
      </rPr>
      <t>Rear I/O connectors</t>
    </r>
    <r>
      <rPr>
        <sz val="11"/>
        <color theme="1" tint="0.249977111117893"/>
        <rFont val="Predator"/>
        <family val="3"/>
      </rPr>
      <t xml:space="preserve">
• LAN port(s): 1
• Audio jack(s): 3
• USB 2.0 Type A port(s): 2
• USB 3.2 Gen2 Type A port(s): 3
• USB 3.2 Gen2x2 Type C port(s): 1</t>
    </r>
    <phoneticPr fontId="10" type="noConversion"/>
  </si>
  <si>
    <t>• PCIe x16 slot(s): 1
• M.2 slot (for SSD): 2
• M.2 slot (for WLAN): 1</t>
    <phoneticPr fontId="10" type="noConversion"/>
  </si>
  <si>
    <t>• PCIe x16 slot(s): 2
• PCIe x1 slot(s): 1
• M.2 slot (for SSD): 2
• M.2 slot (for WLAN): 1</t>
    <phoneticPr fontId="10" type="noConversion"/>
  </si>
  <si>
    <t>• PCIe x16 slot(s): 1
• PCIe x1 slot(s): 1
• M.2 slot (for SSD): 2
• M.2 slot (for WLAN): 1</t>
    <phoneticPr fontId="10" type="noConversion"/>
  </si>
  <si>
    <t>2 x 2.5” SATA3 6.0Gb/s HDD connector (up to 1TB/each)</t>
    <phoneticPr fontId="10" type="noConversion"/>
  </si>
  <si>
    <t>2 x 3.5” SATA3 6.0Gb/s HDD connector (up to 3TB/each)</t>
    <phoneticPr fontId="10" type="noConversion"/>
  </si>
  <si>
    <t>Windows 11 Home 64-bit.</t>
    <phoneticPr fontId="10" type="noConversion"/>
  </si>
  <si>
    <t>Windows 11 Home 64-bit.</t>
  </si>
  <si>
    <t>Windows 11 Home 64-bit.
UEFI Shell
No OS</t>
    <phoneticPr fontId="10" type="noConversion"/>
  </si>
  <si>
    <t>179 (W) x 336 (D) x 257.5 (H) mm</t>
    <phoneticPr fontId="10" type="noConversion"/>
  </si>
  <si>
    <t>179 (W) x 336 (D) x 257.5 (H) mm</t>
  </si>
  <si>
    <t>219 (W) x 482 (D) x 485 (H) mm</t>
    <phoneticPr fontId="10" type="noConversion"/>
  </si>
  <si>
    <t>10.51 kg</t>
    <phoneticPr fontId="10" type="noConversion"/>
  </si>
  <si>
    <t>22kg  [i9+RTX4090]</t>
    <phoneticPr fontId="10" type="noConversion"/>
  </si>
  <si>
    <t>20kg</t>
    <phoneticPr fontId="10" type="noConversion"/>
  </si>
  <si>
    <t>15kg</t>
    <phoneticPr fontId="10" type="noConversion"/>
  </si>
  <si>
    <t>25kg</t>
    <phoneticPr fontId="10" type="noConversion"/>
  </si>
  <si>
    <t>15.4L</t>
    <phoneticPr fontId="10" type="noConversion"/>
  </si>
  <si>
    <t>50L</t>
    <phoneticPr fontId="10" type="noConversion"/>
  </si>
  <si>
    <t>40L</t>
    <phoneticPr fontId="10" type="noConversion"/>
  </si>
  <si>
    <t>v2-1</t>
    <phoneticPr fontId="10" type="noConversion"/>
  </si>
  <si>
    <t>v3-1</t>
    <phoneticPr fontId="10" type="noConversion"/>
  </si>
  <si>
    <t>v3-2</t>
    <phoneticPr fontId="10" type="noConversion"/>
  </si>
  <si>
    <t>v3-0</t>
    <phoneticPr fontId="10" type="noConversion"/>
  </si>
  <si>
    <t>v2-0</t>
    <phoneticPr fontId="10" type="noConversion"/>
  </si>
  <si>
    <t>Su, Sarah</t>
    <phoneticPr fontId="10" type="noConversion"/>
  </si>
  <si>
    <t>Wu, Koa</t>
    <phoneticPr fontId="10" type="noConversion"/>
  </si>
  <si>
    <t xml:space="preserve">Chao, Callen </t>
    <phoneticPr fontId="10" type="noConversion"/>
  </si>
  <si>
    <t>Tsai,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</si>
</sst>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.00;[Red]\-&quot;$&quot;#,##0.00"/>
    <numFmt numFmtId="165" formatCode="0.0%"/>
    <numFmt numFmtId="166" formatCode="m&quot;月&quot;d&quot;日&quot;"/>
    <numFmt numFmtId="167" formatCode="[$-409]mmmm\ d\,\ yyyy;@"/>
    <numFmt numFmtId="168" formatCode="m/d/yyyy;@"/>
    <numFmt numFmtId="169" formatCode="0.0"/>
  </numFmts>
  <fonts count="113">
    <font>
      <sz val="12"/>
      <color theme="1"/>
      <name val="Calibri"/>
      <family val="2"/>
      <charset val="136"/>
      <scheme val="minor"/>
    </font>
    <font>
      <sz val="12"/>
      <color theme="1" tint="0.249977111117893"/>
      <name val="Predator Black"/>
      <family val="3"/>
    </font>
    <font>
      <sz val="12"/>
      <color theme="1" tint="0.249977111117893"/>
      <name val="Predator"/>
      <family val="3"/>
    </font>
    <font>
      <sz val="10"/>
      <color theme="1" tint="0.249977111117893"/>
      <name val="Predator Black"/>
      <family val="3"/>
    </font>
    <font>
      <sz val="22"/>
      <color theme="1" tint="0.249977111117893"/>
      <name val="Predator Black"/>
      <family val="3"/>
    </font>
    <font>
      <sz val="11"/>
      <color theme="1" tint="0.249977111117893"/>
      <name val="Predator"/>
      <family val="3"/>
    </font>
    <font>
      <sz val="14"/>
      <color theme="1" tint="0.249977111117893"/>
      <name val="Predator Black"/>
      <family val="3"/>
    </font>
    <font>
      <sz val="12"/>
      <color theme="1" tint="4.9989318521683403E-2"/>
      <name val="Predator"/>
      <family val="3"/>
    </font>
    <font>
      <sz val="12"/>
      <color theme="1" tint="0.14999847407452621"/>
      <name val="Predator"/>
      <family val="3"/>
    </font>
    <font>
      <sz val="12"/>
      <color theme="1"/>
      <name val="Predator"/>
      <family val="3"/>
    </font>
    <font>
      <sz val="9"/>
      <name val="Calibri"/>
      <family val="2"/>
      <charset val="136"/>
      <scheme val="minor"/>
    </font>
    <font>
      <sz val="12"/>
      <color theme="1" tint="0.249977111117893"/>
      <name val="Microsoft JhengHei"/>
      <family val="2"/>
      <charset val="136"/>
    </font>
    <font>
      <sz val="11"/>
      <color rgb="FF0070C0"/>
      <name val="Predator"/>
      <family val="3"/>
    </font>
    <font>
      <sz val="11"/>
      <color theme="1"/>
      <name val="Predator"/>
      <family val="3"/>
    </font>
    <font>
      <sz val="11"/>
      <name val="Calibri"/>
      <family val="2"/>
    </font>
    <font>
      <sz val="12"/>
      <color theme="1"/>
      <name val="Predator"/>
      <family val="3"/>
    </font>
    <font>
      <sz val="12"/>
      <color theme="1" tint="0.249977111117893"/>
      <name val="Predator"/>
      <family val="3"/>
    </font>
    <font>
      <sz val="12"/>
      <color theme="1"/>
      <name val="Predator Black"/>
      <family val="3"/>
    </font>
    <font>
      <sz val="14"/>
      <color theme="1"/>
      <name val="Predator Black"/>
      <family val="3"/>
    </font>
    <font>
      <sz val="11"/>
      <color rgb="FFC00000"/>
      <name val="Predator"/>
      <family val="3"/>
    </font>
    <font>
      <sz val="11"/>
      <color theme="1" tint="0.249977111117893"/>
      <name val="Predator Black"/>
      <family val="3"/>
    </font>
    <font>
      <u/>
      <sz val="11"/>
      <color theme="1" tint="0.249977111117893"/>
      <name val="Predator"/>
      <family val="3"/>
    </font>
    <font>
      <sz val="12"/>
      <color rgb="FF0070C0"/>
      <name val="Predator"/>
      <family val="3"/>
    </font>
    <font>
      <sz val="12"/>
      <color rgb="FFC00000"/>
      <name val="Predator"/>
      <family val="3"/>
    </font>
    <font>
      <sz val="12"/>
      <color rgb="FF00B050"/>
      <name val="Predator"/>
      <family val="3"/>
    </font>
    <font>
      <sz val="12"/>
      <color rgb="FF404040"/>
      <name val="Predator"/>
      <family val="3"/>
    </font>
    <font>
      <sz val="12"/>
      <color rgb="FF404040"/>
      <name val="微軟正黑體"/>
      <family val="2"/>
      <charset val="136"/>
    </font>
    <font>
      <sz val="12"/>
      <name val="Predator"/>
      <family val="3"/>
    </font>
    <font>
      <sz val="12"/>
      <color theme="1" tint="0.249977111117893"/>
      <name val="細明體"/>
      <family val="3"/>
      <charset val="136"/>
    </font>
    <font>
      <sz val="12"/>
      <color rgb="FFFF0000"/>
      <name val="Predator"/>
      <family val="3"/>
    </font>
    <font>
      <sz val="11"/>
      <color rgb="FFFF0000"/>
      <name val="Predator"/>
      <family val="3"/>
    </font>
    <font>
      <sz val="11"/>
      <name val="Predator"/>
      <family val="3"/>
    </font>
    <font>
      <sz val="11"/>
      <color rgb="FF00B0F0"/>
      <name val="Predator"/>
      <family val="3"/>
    </font>
    <font>
      <sz val="11"/>
      <color theme="1"/>
      <name val="Predator"/>
      <family val="3"/>
    </font>
    <font>
      <sz val="11"/>
      <color theme="6" tint="0.39997558519241921"/>
      <name val="Predator"/>
      <family val="3"/>
    </font>
    <font>
      <sz val="11"/>
      <color theme="9" tint="-0.249977111117893"/>
      <name val="Predator"/>
      <family val="3"/>
    </font>
    <font>
      <sz val="11"/>
      <color rgb="FFC00000"/>
      <name val="Predator"/>
      <family val="3"/>
    </font>
    <font>
      <b/>
      <u/>
      <sz val="12"/>
      <color theme="1"/>
      <name val="Predator"/>
      <family val="3"/>
    </font>
    <font>
      <sz val="12"/>
      <color rgb="FF000000"/>
      <name val="Predator"/>
    </font>
    <font>
      <sz val="12"/>
      <color rgb="FFFF0000"/>
      <name val="Predator"/>
    </font>
    <font>
      <sz val="12"/>
      <color theme="1"/>
      <name val="Predator"/>
    </font>
    <font>
      <b/>
      <sz val="12"/>
      <color rgb="FF000000"/>
      <name val="Predator"/>
    </font>
    <font>
      <b/>
      <u/>
      <sz val="12"/>
      <color rgb="FF000000"/>
      <name val="Predator"/>
    </font>
    <font>
      <sz val="12"/>
      <color rgb="FF404040"/>
      <name val="Predator"/>
    </font>
    <font>
      <sz val="12"/>
      <name val="Predator"/>
    </font>
    <font>
      <sz val="12"/>
      <color rgb="FF00B050"/>
      <name val="Predator"/>
    </font>
    <font>
      <strike/>
      <sz val="12"/>
      <color rgb="FF00B050"/>
      <name val="Predator"/>
    </font>
    <font>
      <sz val="12"/>
      <color rgb="FF70AD47"/>
      <name val="Predator"/>
    </font>
    <font>
      <sz val="12"/>
      <color rgb="FF000000"/>
      <name val="Predator"/>
      <family val="3"/>
    </font>
    <font>
      <sz val="12"/>
      <color theme="9"/>
      <name val="Predator"/>
    </font>
    <font>
      <sz val="12"/>
      <color theme="9"/>
      <name val="Predator"/>
      <family val="3"/>
    </font>
    <font>
      <b/>
      <u/>
      <sz val="12"/>
      <color rgb="FF000000"/>
      <name val="Predator"/>
      <family val="3"/>
    </font>
    <font>
      <u/>
      <sz val="12"/>
      <color rgb="FF000000"/>
      <name val="Predator"/>
    </font>
    <font>
      <u/>
      <sz val="12"/>
      <color rgb="FF000000"/>
      <name val="Predator"/>
      <family val="3"/>
    </font>
    <font>
      <sz val="12"/>
      <color rgb="FF0D0D0D"/>
      <name val="Predator"/>
      <family val="3"/>
    </font>
    <font>
      <sz val="11"/>
      <color rgb="FF000000"/>
      <name val="Predator"/>
    </font>
    <font>
      <b/>
      <u/>
      <sz val="11"/>
      <color rgb="FF000000"/>
      <name val="Predator"/>
    </font>
    <font>
      <sz val="11"/>
      <color rgb="FF000000"/>
      <name val="Predator"/>
      <family val="3"/>
    </font>
    <font>
      <u/>
      <sz val="11"/>
      <color rgb="FF000000"/>
      <name val="Predator"/>
      <family val="3"/>
    </font>
    <font>
      <sz val="12"/>
      <color rgb="FF000000"/>
      <name val="Predator Black"/>
      <family val="3"/>
    </font>
    <font>
      <sz val="11"/>
      <color rgb="FFFF0000"/>
      <name val="Predator"/>
    </font>
    <font>
      <u/>
      <sz val="11"/>
      <color rgb="FF000000"/>
      <name val="Predator"/>
    </font>
    <font>
      <u/>
      <sz val="11"/>
      <color rgb="FF404040"/>
      <name val="Predator"/>
    </font>
    <font>
      <sz val="11"/>
      <color rgb="FF404040"/>
      <name val="Predator"/>
    </font>
    <font>
      <sz val="11"/>
      <color rgb="FF404040"/>
      <name val="Predator"/>
      <family val="3"/>
    </font>
    <font>
      <b/>
      <sz val="12"/>
      <color theme="1" tint="0.249977111117893"/>
      <name val="Predator"/>
    </font>
    <font>
      <sz val="12"/>
      <color theme="1" tint="0.249977111117893"/>
      <name val="Predator"/>
    </font>
    <font>
      <strike/>
      <sz val="12"/>
      <color theme="1" tint="0.249977111117893"/>
      <name val="Predator"/>
    </font>
    <font>
      <b/>
      <strike/>
      <sz val="12"/>
      <color theme="1" tint="0.249977111117893"/>
      <name val="Predator"/>
    </font>
    <font>
      <strike/>
      <sz val="12"/>
      <color theme="1"/>
      <name val="Predator"/>
    </font>
    <font>
      <sz val="12"/>
      <color rgb="FFFF5050"/>
      <name val="Predator"/>
    </font>
    <font>
      <b/>
      <sz val="12"/>
      <color rgb="FFFF5050"/>
      <name val="Predator"/>
    </font>
    <font>
      <strike/>
      <sz val="12"/>
      <color rgb="FFFF5050"/>
      <name val="Predator"/>
    </font>
    <font>
      <b/>
      <strike/>
      <sz val="12"/>
      <color rgb="FFFF5050"/>
      <name val="Predator"/>
    </font>
    <font>
      <sz val="12"/>
      <color rgb="FFFF33CC"/>
      <name val="Predator"/>
    </font>
    <font>
      <sz val="12"/>
      <color rgb="FFC00000"/>
      <name val="Predator"/>
    </font>
    <font>
      <sz val="12"/>
      <color rgb="FF0070C0"/>
      <name val="Predator"/>
    </font>
    <font>
      <sz val="12"/>
      <color rgb="FF00B0F0"/>
      <name val="Predator"/>
    </font>
    <font>
      <sz val="11"/>
      <color theme="1" tint="0.249977111117893"/>
      <name val="Cambria"/>
      <family val="1"/>
    </font>
    <font>
      <sz val="12"/>
      <color rgb="FF404040"/>
      <name val="Times New Roman"/>
      <family val="1"/>
    </font>
    <font>
      <sz val="12"/>
      <color rgb="FF404040"/>
      <name val="Predator Black"/>
      <family val="3"/>
    </font>
    <font>
      <sz val="11"/>
      <color rgb="FF404040"/>
      <name val="Predator Black"/>
      <family val="3"/>
    </font>
    <font>
      <sz val="11"/>
      <color rgb="FF404040"/>
      <name val="Predator Black"/>
    </font>
    <font>
      <sz val="11"/>
      <color rgb="FF404040"/>
      <name val="Cambria"/>
      <family val="1"/>
    </font>
    <font>
      <sz val="11"/>
      <color theme="1" tint="0.249977111117893"/>
      <name val="Predator Black"/>
    </font>
    <font>
      <sz val="11"/>
      <color theme="1" tint="0.249977111117893"/>
      <name val="Predator"/>
    </font>
    <font>
      <sz val="11"/>
      <color theme="1" tint="0.249977111117893"/>
      <name val="Segoe UI Emoji"/>
      <family val="2"/>
    </font>
    <font>
      <sz val="12"/>
      <color rgb="FF404040"/>
      <name val="Predator Black"/>
    </font>
    <font>
      <sz val="22"/>
      <color rgb="FF404040"/>
      <name val="Predator Black"/>
    </font>
    <font>
      <sz val="12"/>
      <color rgb="FFFF0000"/>
      <name val="Predator Black"/>
    </font>
    <font>
      <sz val="12"/>
      <color rgb="FF000000"/>
      <name val="Predator Black"/>
    </font>
    <font>
      <sz val="14"/>
      <color rgb="FF000000"/>
      <name val="Predator Black"/>
    </font>
    <font>
      <sz val="12"/>
      <name val="新細明體"/>
      <family val="1"/>
      <charset val="136"/>
    </font>
    <font>
      <b/>
      <u/>
      <sz val="12"/>
      <name val="Predator"/>
    </font>
    <font>
      <sz val="12"/>
      <name val="Times New Roman"/>
      <family val="1"/>
    </font>
    <font>
      <sz val="12"/>
      <name val="Predator Black"/>
    </font>
    <font>
      <strike/>
      <sz val="12"/>
      <color rgb="FF404040"/>
      <name val="Predator"/>
    </font>
    <font>
      <sz val="11"/>
      <color rgb="FF70AD47"/>
      <name val="Predator"/>
    </font>
    <font>
      <strike/>
      <sz val="11"/>
      <color theme="1" tint="0.249977111117893"/>
      <name val="Predator"/>
    </font>
    <font>
      <b/>
      <sz val="12"/>
      <color rgb="FFFF0000"/>
      <name val="Predator Black"/>
    </font>
    <font>
      <sz val="11"/>
      <color theme="1"/>
      <name val="Predator"/>
    </font>
    <font>
      <sz val="11"/>
      <color theme="1"/>
      <name val="Predator Black"/>
      <family val="3"/>
    </font>
    <font>
      <sz val="12"/>
      <color rgb="FFFF0000"/>
      <name val="Predator Black"/>
      <family val="3"/>
    </font>
    <font>
      <b/>
      <sz val="12"/>
      <name val="Predator"/>
    </font>
    <font>
      <sz val="9"/>
      <name val="Calibri"/>
      <family val="2"/>
      <charset val="136"/>
      <scheme val="minor"/>
    </font>
    <font>
      <sz val="12"/>
      <color theme="1" tint="0.249977111117893"/>
      <name val="微軟正黑體"/>
      <family val="2"/>
      <charset val="136"/>
    </font>
    <font>
      <b/>
      <u/>
      <sz val="12"/>
      <color theme="1" tint="0.249977111117893"/>
      <name val="Predator"/>
      <family val="3"/>
    </font>
    <font>
      <vertAlign val="superscript"/>
      <sz val="12"/>
      <color theme="1" tint="0.249977111117893"/>
      <name val="Predator"/>
    </font>
    <font>
      <strike/>
      <sz val="11"/>
      <color theme="1"/>
      <name val="Predator"/>
    </font>
    <font>
      <sz val="11"/>
      <name val="Predator"/>
    </font>
    <font>
      <sz val="11"/>
      <name val="Predator Black"/>
    </font>
    <font>
      <sz val="11"/>
      <color theme="1"/>
      <name val="Calibri"/>
      <family val="2"/>
      <charset val="136"/>
      <scheme val="minor"/>
    </font>
    <font>
      <sz val="12"/>
      <color rgb="FF000000"/>
      <name val="Predator"/>
      <charset val="1"/>
    </font>
  </fonts>
  <fills count="1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499984740745262"/>
        <bgColor rgb="FF000000"/>
      </patternFill>
    </fill>
    <fill>
      <patternFill patternType="solid">
        <fgColor rgb="FF66FFFF"/>
        <bgColor indexed="64"/>
      </patternFill>
    </fill>
    <fill>
      <patternFill patternType="solid">
        <fgColor rgb="FFC1FB99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 style="dotted">
        <color theme="0" tint="-0.34998626667073579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dotted">
        <color rgb="FFA6A6A6"/>
      </bottom>
      <diagonal/>
    </border>
    <border>
      <left/>
      <right/>
      <top style="dotted">
        <color theme="1" tint="0.24994659260841701"/>
      </top>
      <bottom style="dotted">
        <color theme="1" tint="0.24994659260841701"/>
      </bottom>
      <diagonal/>
    </border>
    <border>
      <left/>
      <right/>
      <top style="dotted">
        <color theme="1" tint="0.2499465926084170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tted">
        <color rgb="FFA6A6A6"/>
      </top>
      <bottom style="dotted">
        <color rgb="FFA6A6A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tted">
        <color theme="1" tint="0.499984740745262"/>
      </left>
      <right style="dotted">
        <color theme="1" tint="0.499984740745262"/>
      </right>
      <top/>
      <bottom/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/>
      <diagonal/>
    </border>
    <border>
      <left style="dotted">
        <color theme="1" tint="0.499984740745262"/>
      </left>
      <right style="dotted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 style="medium">
        <color theme="1" tint="0.499984740745262"/>
      </top>
      <bottom/>
      <diagonal/>
    </border>
    <border>
      <left style="dotted">
        <color theme="1" tint="0.499984740745262"/>
      </left>
      <right style="dotted">
        <color theme="1" tint="0.499984740745262"/>
      </right>
      <top style="medium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/>
      <bottom style="medium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 style="medium">
        <color theme="1" tint="0.499984740745262"/>
      </bottom>
      <diagonal/>
    </border>
    <border>
      <left style="dotted">
        <color rgb="FF808080"/>
      </left>
      <right style="dotted">
        <color rgb="FF808080"/>
      </right>
      <top style="medium">
        <color rgb="FF808080"/>
      </top>
      <bottom style="medium">
        <color rgb="FF808080"/>
      </bottom>
      <diagonal/>
    </border>
    <border>
      <left style="dotted">
        <color rgb="FF808080"/>
      </left>
      <right style="dotted">
        <color rgb="FF808080"/>
      </right>
      <top/>
      <bottom style="dotted">
        <color rgb="FF808080"/>
      </bottom>
      <diagonal/>
    </border>
    <border>
      <left style="dotted">
        <color rgb="FF808080"/>
      </left>
      <right style="dotted">
        <color rgb="FF808080"/>
      </right>
      <top/>
      <bottom style="medium">
        <color rgb="FF808080"/>
      </bottom>
      <diagonal/>
    </border>
    <border>
      <left style="dotted">
        <color rgb="FF808080"/>
      </left>
      <right style="dotted">
        <color rgb="FF808080"/>
      </right>
      <top style="dotted">
        <color rgb="FF808080"/>
      </top>
      <bottom style="dotted">
        <color rgb="FF808080"/>
      </bottom>
      <diagonal/>
    </border>
    <border>
      <left style="dotted">
        <color rgb="FF808080"/>
      </left>
      <right style="dotted">
        <color rgb="FF808080"/>
      </right>
      <top/>
      <bottom/>
      <diagonal/>
    </border>
    <border>
      <left style="dotted">
        <color theme="1" tint="0.499984740745262"/>
      </left>
      <right/>
      <top style="medium">
        <color theme="1" tint="0.499984740745262"/>
      </top>
      <bottom style="dotted">
        <color theme="1" tint="0.499984740745262"/>
      </bottom>
      <diagonal/>
    </border>
    <border>
      <left/>
      <right style="dotted">
        <color theme="1" tint="0.499984740745262"/>
      </right>
      <top style="medium">
        <color theme="1" tint="0.499984740745262"/>
      </top>
      <bottom style="dotted">
        <color theme="1" tint="0.499984740745262"/>
      </bottom>
      <diagonal/>
    </border>
    <border>
      <left style="dotted">
        <color rgb="FF808080"/>
      </left>
      <right style="dotted">
        <color rgb="FF808080"/>
      </right>
      <top/>
      <bottom style="dotted">
        <color theme="1" tint="0.499984740745262"/>
      </bottom>
      <diagonal/>
    </border>
    <border>
      <left style="dotted">
        <color rgb="FF808080"/>
      </left>
      <right style="dotted">
        <color rgb="FF808080"/>
      </right>
      <top style="dotted">
        <color theme="1" tint="0.499984740745262"/>
      </top>
      <bottom/>
      <diagonal/>
    </border>
    <border>
      <left style="dotted">
        <color rgb="FF808080"/>
      </left>
      <right style="dotted">
        <color rgb="FF808080"/>
      </right>
      <top style="medium">
        <color rgb="FF808080"/>
      </top>
      <bottom style="medium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/>
      <bottom style="dotted">
        <color theme="1" tint="0.499984740745262"/>
      </bottom>
      <diagonal/>
    </border>
    <border>
      <left style="dotted">
        <color rgb="FF808080"/>
      </left>
      <right style="dotted">
        <color rgb="FF808080"/>
      </right>
      <top/>
      <bottom style="medium">
        <color theme="1" tint="0.499984740745262"/>
      </bottom>
      <diagonal/>
    </border>
  </borders>
  <cellStyleXfs count="2">
    <xf numFmtId="0" fontId="0" fillId="0" borderId="0">
      <alignment vertical="center"/>
    </xf>
    <xf numFmtId="0" fontId="14" fillId="0" borderId="0"/>
  </cellStyleXfs>
  <cellXfs count="500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3" xfId="0" applyFont="1" applyFill="1" applyBorder="1" applyAlignment="1">
      <alignment horizontal="center" vertical="center"/>
    </xf>
    <xf numFmtId="0" fontId="4" fillId="2" borderId="0" xfId="0" applyFont="1" applyFill="1">
      <alignment vertical="center"/>
    </xf>
    <xf numFmtId="0" fontId="1" fillId="2" borderId="0" xfId="0" applyFont="1" applyFill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7" fillId="5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left" vertical="center" wrapText="1"/>
    </xf>
    <xf numFmtId="0" fontId="8" fillId="3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/>
    </xf>
    <xf numFmtId="0" fontId="11" fillId="2" borderId="2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0" fontId="16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9" fillId="4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right" vertical="center"/>
    </xf>
    <xf numFmtId="0" fontId="17" fillId="2" borderId="0" xfId="0" applyFont="1" applyFill="1">
      <alignment vertical="center"/>
    </xf>
    <xf numFmtId="0" fontId="18" fillId="3" borderId="0" xfId="0" applyFont="1" applyFill="1" applyAlignment="1">
      <alignment horizontal="left" vertical="center"/>
    </xf>
    <xf numFmtId="10" fontId="2" fillId="2" borderId="1" xfId="0" applyNumberFormat="1" applyFont="1" applyFill="1" applyBorder="1" applyAlignment="1">
      <alignment horizontal="center" vertical="center" wrapText="1"/>
    </xf>
    <xf numFmtId="0" fontId="9" fillId="2" borderId="0" xfId="0" applyFont="1" applyFill="1">
      <alignment vertical="center"/>
    </xf>
    <xf numFmtId="0" fontId="2" fillId="2" borderId="1" xfId="0" applyFont="1" applyFill="1" applyBorder="1" applyAlignment="1">
      <alignment horizontal="left" vertical="center"/>
    </xf>
    <xf numFmtId="0" fontId="20" fillId="2" borderId="3" xfId="0" applyFont="1" applyFill="1" applyBorder="1" applyAlignment="1">
      <alignment horizontal="center" vertical="center"/>
    </xf>
    <xf numFmtId="14" fontId="20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20" fillId="2" borderId="0" xfId="0" applyFont="1" applyFill="1" applyAlignment="1">
      <alignment horizontal="center" vertical="center"/>
    </xf>
    <xf numFmtId="0" fontId="22" fillId="2" borderId="2" xfId="0" applyFont="1" applyFill="1" applyBorder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center"/>
    </xf>
    <xf numFmtId="9" fontId="2" fillId="2" borderId="1" xfId="0" applyNumberFormat="1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10" fontId="9" fillId="2" borderId="1" xfId="0" applyNumberFormat="1" applyFont="1" applyFill="1" applyBorder="1" applyAlignment="1">
      <alignment horizontal="center" vertical="center" wrapText="1"/>
    </xf>
    <xf numFmtId="9" fontId="9" fillId="2" borderId="1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/>
    </xf>
    <xf numFmtId="0" fontId="15" fillId="2" borderId="0" xfId="0" applyFont="1" applyFill="1">
      <alignment vertical="center"/>
    </xf>
    <xf numFmtId="0" fontId="29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5" fillId="2" borderId="2" xfId="0" applyFont="1" applyFill="1" applyBorder="1" applyAlignment="1">
      <alignment horizontal="left" vertical="center" wrapText="1"/>
    </xf>
    <xf numFmtId="14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6" fontId="2" fillId="2" borderId="0" xfId="0" applyNumberFormat="1" applyFont="1" applyFill="1" applyAlignment="1">
      <alignment horizontal="center" vertical="center"/>
    </xf>
    <xf numFmtId="165" fontId="9" fillId="2" borderId="1" xfId="0" applyNumberFormat="1" applyFont="1" applyFill="1" applyBorder="1" applyAlignment="1">
      <alignment horizontal="center" vertical="center" wrapText="1"/>
    </xf>
    <xf numFmtId="0" fontId="33" fillId="2" borderId="0" xfId="0" applyFont="1" applyFill="1" applyAlignment="1" applyProtection="1">
      <alignment vertical="center" wrapText="1"/>
      <protection locked="0"/>
    </xf>
    <xf numFmtId="0" fontId="32" fillId="2" borderId="5" xfId="0" applyFont="1" applyFill="1" applyBorder="1" applyAlignment="1" applyProtection="1">
      <alignment vertical="center" wrapText="1"/>
      <protection locked="0"/>
    </xf>
    <xf numFmtId="0" fontId="35" fillId="2" borderId="5" xfId="0" applyFont="1" applyFill="1" applyBorder="1" applyAlignment="1" applyProtection="1">
      <alignment vertical="center" wrapText="1"/>
      <protection locked="0"/>
    </xf>
    <xf numFmtId="0" fontId="36" fillId="2" borderId="0" xfId="0" applyFont="1" applyFill="1" applyAlignment="1" applyProtection="1">
      <alignment vertical="center" wrapText="1"/>
      <protection locked="0"/>
    </xf>
    <xf numFmtId="0" fontId="13" fillId="2" borderId="0" xfId="0" applyFont="1" applyFill="1" applyAlignment="1" applyProtection="1">
      <alignment vertical="center" wrapText="1"/>
      <protection locked="0"/>
    </xf>
    <xf numFmtId="0" fontId="13" fillId="2" borderId="0" xfId="0" applyFont="1" applyFill="1" applyAlignment="1" applyProtection="1">
      <alignment horizontal="left" vertical="center" wrapText="1"/>
      <protection locked="0"/>
    </xf>
    <xf numFmtId="0" fontId="19" fillId="2" borderId="0" xfId="0" applyFont="1" applyFill="1" applyAlignment="1" applyProtection="1">
      <alignment vertical="center" wrapText="1"/>
      <protection locked="0"/>
    </xf>
    <xf numFmtId="0" fontId="13" fillId="2" borderId="5" xfId="0" applyFont="1" applyFill="1" applyBorder="1" applyAlignment="1" applyProtection="1">
      <alignment horizontal="center" vertical="center" wrapText="1"/>
      <protection locked="0"/>
    </xf>
    <xf numFmtId="0" fontId="13" fillId="2" borderId="5" xfId="0" applyFont="1" applyFill="1" applyBorder="1" applyAlignment="1" applyProtection="1">
      <alignment vertical="center" wrapText="1"/>
      <protection locked="0"/>
    </xf>
    <xf numFmtId="0" fontId="19" fillId="2" borderId="5" xfId="0" applyFont="1" applyFill="1" applyBorder="1" applyAlignment="1" applyProtection="1">
      <alignment vertical="center" wrapText="1"/>
      <protection locked="0"/>
    </xf>
    <xf numFmtId="0" fontId="13" fillId="2" borderId="6" xfId="0" applyFont="1" applyFill="1" applyBorder="1" applyAlignment="1" applyProtection="1">
      <alignment horizontal="center" vertical="center" wrapText="1"/>
      <protection locked="0"/>
    </xf>
    <xf numFmtId="0" fontId="13" fillId="2" borderId="6" xfId="0" applyFont="1" applyFill="1" applyBorder="1" applyAlignment="1" applyProtection="1">
      <alignment vertical="center" wrapText="1"/>
      <protection locked="0"/>
    </xf>
    <xf numFmtId="0" fontId="19" fillId="2" borderId="6" xfId="0" applyFont="1" applyFill="1" applyBorder="1" applyAlignment="1" applyProtection="1">
      <alignment vertical="center" wrapText="1"/>
      <protection locked="0"/>
    </xf>
    <xf numFmtId="0" fontId="13" fillId="2" borderId="5" xfId="0" applyFont="1" applyFill="1" applyBorder="1" applyAlignment="1" applyProtection="1">
      <alignment horizontal="left" vertical="center" wrapText="1"/>
      <protection locked="0"/>
    </xf>
    <xf numFmtId="0" fontId="19" fillId="2" borderId="5" xfId="0" applyFont="1" applyFill="1" applyBorder="1" applyAlignment="1" applyProtection="1">
      <alignment horizontal="left" vertical="center" wrapText="1"/>
      <protection locked="0"/>
    </xf>
    <xf numFmtId="164" fontId="13" fillId="2" borderId="5" xfId="0" applyNumberFormat="1" applyFont="1" applyFill="1" applyBorder="1" applyAlignment="1" applyProtection="1">
      <alignment horizontal="center" vertical="center" wrapText="1"/>
      <protection locked="0"/>
    </xf>
    <xf numFmtId="0" fontId="40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40" fillId="0" borderId="0" xfId="0" applyFont="1">
      <alignment vertical="center"/>
    </xf>
    <xf numFmtId="167" fontId="40" fillId="0" borderId="7" xfId="0" applyNumberFormat="1" applyFont="1" applyBorder="1" applyAlignment="1">
      <alignment horizontal="left" vertical="center"/>
    </xf>
    <xf numFmtId="167" fontId="40" fillId="0" borderId="0" xfId="0" applyNumberFormat="1" applyFont="1">
      <alignment vertical="center"/>
    </xf>
    <xf numFmtId="0" fontId="25" fillId="8" borderId="8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3" fillId="8" borderId="4" xfId="0" applyFont="1" applyFill="1" applyBorder="1" applyAlignment="1">
      <alignment horizontal="center" vertical="center" wrapText="1"/>
    </xf>
    <xf numFmtId="0" fontId="38" fillId="8" borderId="4" xfId="0" applyFont="1" applyFill="1" applyBorder="1" applyAlignment="1">
      <alignment horizontal="center" vertical="center" wrapText="1"/>
    </xf>
    <xf numFmtId="0" fontId="44" fillId="8" borderId="4" xfId="0" applyFont="1" applyFill="1" applyBorder="1" applyAlignment="1">
      <alignment horizontal="center" vertical="center" wrapText="1"/>
    </xf>
    <xf numFmtId="0" fontId="45" fillId="8" borderId="4" xfId="0" applyFont="1" applyFill="1" applyBorder="1" applyAlignment="1">
      <alignment horizontal="center" vertical="center" wrapText="1"/>
    </xf>
    <xf numFmtId="0" fontId="46" fillId="8" borderId="4" xfId="0" applyFont="1" applyFill="1" applyBorder="1" applyAlignment="1">
      <alignment horizontal="center" vertical="center" wrapText="1"/>
    </xf>
    <xf numFmtId="0" fontId="42" fillId="8" borderId="4" xfId="0" applyFont="1" applyFill="1" applyBorder="1" applyAlignment="1">
      <alignment horizontal="center" vertical="center" wrapText="1"/>
    </xf>
    <xf numFmtId="0" fontId="43" fillId="8" borderId="0" xfId="0" applyFont="1" applyFill="1" applyAlignment="1">
      <alignment horizontal="center" vertical="center"/>
    </xf>
    <xf numFmtId="0" fontId="43" fillId="8" borderId="3" xfId="0" applyFont="1" applyFill="1" applyBorder="1" applyAlignment="1">
      <alignment horizontal="center" vertical="center"/>
    </xf>
    <xf numFmtId="0" fontId="43" fillId="8" borderId="0" xfId="0" applyFont="1" applyFill="1" applyAlignment="1">
      <alignment horizontal="center" vertical="center" wrapText="1"/>
    </xf>
    <xf numFmtId="0" fontId="40" fillId="8" borderId="4" xfId="0" applyFont="1" applyFill="1" applyBorder="1" applyAlignment="1">
      <alignment horizontal="center" vertical="center" wrapText="1"/>
    </xf>
    <xf numFmtId="10" fontId="38" fillId="8" borderId="4" xfId="0" applyNumberFormat="1" applyFont="1" applyFill="1" applyBorder="1" applyAlignment="1">
      <alignment horizontal="center" vertical="center" wrapText="1"/>
    </xf>
    <xf numFmtId="14" fontId="43" fillId="8" borderId="0" xfId="0" applyNumberFormat="1" applyFont="1" applyFill="1" applyAlignment="1">
      <alignment horizontal="center" vertical="center"/>
    </xf>
    <xf numFmtId="0" fontId="38" fillId="2" borderId="4" xfId="0" applyFont="1" applyFill="1" applyBorder="1" applyAlignment="1">
      <alignment horizontal="center" vertical="center" wrapText="1"/>
    </xf>
    <xf numFmtId="0" fontId="40" fillId="2" borderId="4" xfId="0" applyFont="1" applyFill="1" applyBorder="1" applyAlignment="1">
      <alignment horizontal="center" vertical="center" wrapText="1"/>
    </xf>
    <xf numFmtId="10" fontId="40" fillId="8" borderId="4" xfId="0" applyNumberFormat="1" applyFont="1" applyFill="1" applyBorder="1" applyAlignment="1">
      <alignment horizontal="center" vertical="center" wrapText="1"/>
    </xf>
    <xf numFmtId="0" fontId="25" fillId="8" borderId="4" xfId="0" applyFont="1" applyFill="1" applyBorder="1" applyAlignment="1">
      <alignment horizontal="center" vertical="center" wrapText="1"/>
    </xf>
    <xf numFmtId="0" fontId="48" fillId="8" borderId="4" xfId="0" applyFont="1" applyFill="1" applyBorder="1" applyAlignment="1">
      <alignment horizontal="center" vertical="center" wrapText="1"/>
    </xf>
    <xf numFmtId="0" fontId="24" fillId="8" borderId="4" xfId="0" applyFont="1" applyFill="1" applyBorder="1" applyAlignment="1">
      <alignment horizontal="center" vertical="center" wrapText="1"/>
    </xf>
    <xf numFmtId="0" fontId="25" fillId="8" borderId="0" xfId="0" applyFont="1" applyFill="1" applyAlignment="1">
      <alignment horizontal="center" vertical="center"/>
    </xf>
    <xf numFmtId="0" fontId="25" fillId="8" borderId="3" xfId="0" applyFont="1" applyFill="1" applyBorder="1" applyAlignment="1">
      <alignment horizontal="center" vertical="center"/>
    </xf>
    <xf numFmtId="14" fontId="25" fillId="8" borderId="0" xfId="0" applyNumberFormat="1" applyFont="1" applyFill="1" applyAlignment="1">
      <alignment horizontal="center" vertical="center"/>
    </xf>
    <xf numFmtId="0" fontId="48" fillId="8" borderId="0" xfId="0" applyFont="1" applyFill="1" applyAlignment="1">
      <alignment horizontal="center" vertical="center"/>
    </xf>
    <xf numFmtId="0" fontId="9" fillId="8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 wrapText="1"/>
    </xf>
    <xf numFmtId="10" fontId="9" fillId="2" borderId="4" xfId="0" applyNumberFormat="1" applyFont="1" applyFill="1" applyBorder="1" applyAlignment="1">
      <alignment horizontal="center" vertical="center" wrapText="1"/>
    </xf>
    <xf numFmtId="10" fontId="40" fillId="2" borderId="4" xfId="0" applyNumberFormat="1" applyFont="1" applyFill="1" applyBorder="1" applyAlignment="1">
      <alignment horizontal="center" vertical="center" wrapText="1"/>
    </xf>
    <xf numFmtId="0" fontId="43" fillId="2" borderId="4" xfId="0" applyFont="1" applyFill="1" applyBorder="1" applyAlignment="1">
      <alignment horizontal="center" vertical="center" wrapText="1"/>
    </xf>
    <xf numFmtId="0" fontId="40" fillId="8" borderId="0" xfId="0" applyFont="1" applyFill="1" applyAlignment="1">
      <alignment horizontal="center" vertical="center"/>
    </xf>
    <xf numFmtId="0" fontId="40" fillId="8" borderId="3" xfId="0" applyFont="1" applyFill="1" applyBorder="1" applyAlignment="1">
      <alignment horizontal="center" vertical="center"/>
    </xf>
    <xf numFmtId="14" fontId="40" fillId="8" borderId="0" xfId="0" applyNumberFormat="1" applyFont="1" applyFill="1" applyAlignment="1">
      <alignment horizontal="center" vertical="center"/>
    </xf>
    <xf numFmtId="0" fontId="49" fillId="8" borderId="4" xfId="0" applyFont="1" applyFill="1" applyBorder="1" applyAlignment="1">
      <alignment horizontal="center" vertical="center" wrapText="1"/>
    </xf>
    <xf numFmtId="0" fontId="27" fillId="8" borderId="4" xfId="0" applyFont="1" applyFill="1" applyBorder="1" applyAlignment="1">
      <alignment horizontal="center" vertical="center" wrapText="1"/>
    </xf>
    <xf numFmtId="10" fontId="27" fillId="8" borderId="4" xfId="0" applyNumberFormat="1" applyFont="1" applyFill="1" applyBorder="1" applyAlignment="1">
      <alignment horizontal="center" vertical="center" wrapText="1"/>
    </xf>
    <xf numFmtId="0" fontId="27" fillId="8" borderId="0" xfId="0" applyFont="1" applyFill="1" applyAlignment="1">
      <alignment horizontal="center" vertical="center"/>
    </xf>
    <xf numFmtId="0" fontId="27" fillId="8" borderId="3" xfId="0" applyFont="1" applyFill="1" applyBorder="1" applyAlignment="1">
      <alignment horizontal="center" vertical="center"/>
    </xf>
    <xf numFmtId="14" fontId="27" fillId="8" borderId="0" xfId="0" applyNumberFormat="1" applyFont="1" applyFill="1" applyAlignment="1">
      <alignment horizontal="center" vertical="center"/>
    </xf>
    <xf numFmtId="0" fontId="27" fillId="2" borderId="4" xfId="0" applyFont="1" applyFill="1" applyBorder="1" applyAlignment="1">
      <alignment horizontal="center" vertical="center" wrapText="1"/>
    </xf>
    <xf numFmtId="0" fontId="44" fillId="2" borderId="4" xfId="0" applyFont="1" applyFill="1" applyBorder="1" applyAlignment="1">
      <alignment horizontal="center" vertical="center" wrapText="1"/>
    </xf>
    <xf numFmtId="0" fontId="50" fillId="2" borderId="4" xfId="0" applyFont="1" applyFill="1" applyBorder="1" applyAlignment="1">
      <alignment horizontal="center" vertical="center" wrapText="1"/>
    </xf>
    <xf numFmtId="10" fontId="9" fillId="8" borderId="4" xfId="0" applyNumberFormat="1" applyFont="1" applyFill="1" applyBorder="1" applyAlignment="1">
      <alignment horizontal="center" vertical="center" wrapText="1"/>
    </xf>
    <xf numFmtId="0" fontId="25" fillId="2" borderId="4" xfId="0" applyFont="1" applyFill="1" applyBorder="1" applyAlignment="1">
      <alignment horizontal="center" vertical="center" wrapText="1"/>
    </xf>
    <xf numFmtId="0" fontId="48" fillId="2" borderId="4" xfId="0" applyFont="1" applyFill="1" applyBorder="1" applyAlignment="1">
      <alignment horizontal="center" vertical="center" wrapText="1"/>
    </xf>
    <xf numFmtId="0" fontId="25" fillId="2" borderId="0" xfId="0" applyFont="1" applyFill="1" applyAlignment="1">
      <alignment horizontal="center" vertical="center"/>
    </xf>
    <xf numFmtId="0" fontId="25" fillId="2" borderId="3" xfId="0" applyFont="1" applyFill="1" applyBorder="1" applyAlignment="1">
      <alignment horizontal="center" vertical="center"/>
    </xf>
    <xf numFmtId="14" fontId="25" fillId="2" borderId="0" xfId="0" applyNumberFormat="1" applyFont="1" applyFill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0" fontId="27" fillId="2" borderId="4" xfId="0" applyFont="1" applyFill="1" applyBorder="1" applyAlignment="1">
      <alignment horizontal="center" vertical="center"/>
    </xf>
    <xf numFmtId="0" fontId="25" fillId="2" borderId="4" xfId="0" applyFont="1" applyFill="1" applyBorder="1" applyAlignment="1">
      <alignment horizontal="center" vertical="center"/>
    </xf>
    <xf numFmtId="0" fontId="27" fillId="2" borderId="0" xfId="0" applyFont="1" applyFill="1" applyAlignment="1">
      <alignment horizontal="center" vertical="center" wrapText="1"/>
    </xf>
    <xf numFmtId="0" fontId="27" fillId="2" borderId="3" xfId="0" applyFont="1" applyFill="1" applyBorder="1" applyAlignment="1">
      <alignment horizontal="center" vertical="center"/>
    </xf>
    <xf numFmtId="0" fontId="48" fillId="9" borderId="0" xfId="0" applyFont="1" applyFill="1" applyAlignment="1">
      <alignment horizontal="center" vertical="center"/>
    </xf>
    <xf numFmtId="0" fontId="48" fillId="10" borderId="0" xfId="0" applyFont="1" applyFill="1" applyAlignment="1">
      <alignment horizontal="center" vertical="center"/>
    </xf>
    <xf numFmtId="0" fontId="48" fillId="11" borderId="0" xfId="0" applyFont="1" applyFill="1" applyAlignment="1">
      <alignment horizontal="center" vertical="center"/>
    </xf>
    <xf numFmtId="10" fontId="25" fillId="2" borderId="4" xfId="0" applyNumberFormat="1" applyFont="1" applyFill="1" applyBorder="1" applyAlignment="1">
      <alignment horizontal="center" vertical="center" wrapText="1"/>
    </xf>
    <xf numFmtId="0" fontId="51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53" fillId="2" borderId="4" xfId="0" applyFont="1" applyFill="1" applyBorder="1" applyAlignment="1">
      <alignment horizontal="center" vertical="center" wrapText="1"/>
    </xf>
    <xf numFmtId="10" fontId="43" fillId="2" borderId="4" xfId="0" applyNumberFormat="1" applyFont="1" applyFill="1" applyBorder="1" applyAlignment="1">
      <alignment horizontal="center" vertical="center" wrapText="1"/>
    </xf>
    <xf numFmtId="0" fontId="38" fillId="2" borderId="0" xfId="0" applyFont="1" applyFill="1" applyAlignment="1">
      <alignment horizontal="center" vertical="center"/>
    </xf>
    <xf numFmtId="0" fontId="42" fillId="2" borderId="4" xfId="0" applyFont="1" applyFill="1" applyBorder="1" applyAlignment="1">
      <alignment horizontal="center" vertical="center" wrapText="1"/>
    </xf>
    <xf numFmtId="0" fontId="38" fillId="2" borderId="4" xfId="0" applyFont="1" applyFill="1" applyBorder="1" applyAlignment="1">
      <alignment horizontal="center" vertical="center"/>
    </xf>
    <xf numFmtId="0" fontId="43" fillId="2" borderId="4" xfId="0" applyFont="1" applyFill="1" applyBorder="1" applyAlignment="1">
      <alignment horizontal="center" vertical="center"/>
    </xf>
    <xf numFmtId="0" fontId="43" fillId="2" borderId="3" xfId="0" applyFont="1" applyFill="1" applyBorder="1" applyAlignment="1">
      <alignment horizontal="center" vertical="center"/>
    </xf>
    <xf numFmtId="0" fontId="43" fillId="2" borderId="0" xfId="0" applyFont="1" applyFill="1" applyAlignment="1">
      <alignment horizontal="center" vertical="center"/>
    </xf>
    <xf numFmtId="14" fontId="43" fillId="2" borderId="0" xfId="0" applyNumberFormat="1" applyFont="1" applyFill="1" applyAlignment="1">
      <alignment horizontal="center" vertical="center"/>
    </xf>
    <xf numFmtId="0" fontId="50" fillId="8" borderId="4" xfId="0" applyFont="1" applyFill="1" applyBorder="1" applyAlignment="1">
      <alignment horizontal="center" vertical="center" wrapText="1"/>
    </xf>
    <xf numFmtId="0" fontId="9" fillId="8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center" vertical="center"/>
    </xf>
    <xf numFmtId="10" fontId="54" fillId="2" borderId="4" xfId="0" applyNumberFormat="1" applyFont="1" applyFill="1" applyBorder="1" applyAlignment="1">
      <alignment horizontal="center" vertical="center" wrapText="1"/>
    </xf>
    <xf numFmtId="0" fontId="54" fillId="2" borderId="4" xfId="0" applyFont="1" applyFill="1" applyBorder="1" applyAlignment="1">
      <alignment horizontal="center" vertical="center" wrapText="1"/>
    </xf>
    <xf numFmtId="10" fontId="25" fillId="8" borderId="4" xfId="0" applyNumberFormat="1" applyFont="1" applyFill="1" applyBorder="1" applyAlignment="1">
      <alignment horizontal="center" vertical="center" wrapText="1"/>
    </xf>
    <xf numFmtId="0" fontId="25" fillId="8" borderId="0" xfId="0" applyFont="1" applyFill="1" applyAlignment="1">
      <alignment horizontal="center" vertical="center" wrapText="1"/>
    </xf>
    <xf numFmtId="10" fontId="43" fillId="8" borderId="4" xfId="0" applyNumberFormat="1" applyFont="1" applyFill="1" applyBorder="1" applyAlignment="1">
      <alignment horizontal="center" vertical="center" wrapText="1"/>
    </xf>
    <xf numFmtId="0" fontId="25" fillId="8" borderId="4" xfId="0" applyFont="1" applyFill="1" applyBorder="1" applyAlignment="1">
      <alignment horizontal="center" vertical="center"/>
    </xf>
    <xf numFmtId="0" fontId="48" fillId="8" borderId="4" xfId="0" applyFont="1" applyFill="1" applyBorder="1" applyAlignment="1">
      <alignment horizontal="center" vertical="center"/>
    </xf>
    <xf numFmtId="0" fontId="52" fillId="8" borderId="4" xfId="0" applyFont="1" applyFill="1" applyBorder="1" applyAlignment="1">
      <alignment horizontal="center" vertical="center" wrapText="1"/>
    </xf>
    <xf numFmtId="0" fontId="57" fillId="8" borderId="4" xfId="0" applyFont="1" applyFill="1" applyBorder="1" applyAlignment="1">
      <alignment horizontal="center" vertical="center" wrapText="1"/>
    </xf>
    <xf numFmtId="0" fontId="57" fillId="8" borderId="4" xfId="0" applyFont="1" applyFill="1" applyBorder="1" applyAlignment="1">
      <alignment horizontal="center" vertical="center"/>
    </xf>
    <xf numFmtId="0" fontId="55" fillId="8" borderId="4" xfId="0" applyFont="1" applyFill="1" applyBorder="1" applyAlignment="1">
      <alignment horizontal="center" vertical="center" wrapText="1"/>
    </xf>
    <xf numFmtId="9" fontId="57" fillId="8" borderId="4" xfId="0" applyNumberFormat="1" applyFont="1" applyFill="1" applyBorder="1" applyAlignment="1">
      <alignment horizontal="center" vertical="center"/>
    </xf>
    <xf numFmtId="0" fontId="58" fillId="8" borderId="4" xfId="0" applyFont="1" applyFill="1" applyBorder="1" applyAlignment="1">
      <alignment horizontal="center" vertical="center" wrapText="1"/>
    </xf>
    <xf numFmtId="0" fontId="13" fillId="8" borderId="4" xfId="0" applyFont="1" applyFill="1" applyBorder="1" applyAlignment="1">
      <alignment horizontal="center" vertical="center"/>
    </xf>
    <xf numFmtId="0" fontId="59" fillId="8" borderId="0" xfId="0" applyFont="1" applyFill="1" applyAlignment="1">
      <alignment horizontal="center" vertical="center"/>
    </xf>
    <xf numFmtId="0" fontId="61" fillId="8" borderId="4" xfId="0" applyFont="1" applyFill="1" applyBorder="1" applyAlignment="1">
      <alignment horizontal="center" vertical="center" wrapText="1"/>
    </xf>
    <xf numFmtId="0" fontId="64" fillId="2" borderId="1" xfId="0" applyFont="1" applyFill="1" applyBorder="1" applyAlignment="1">
      <alignment horizontal="center" vertical="center" wrapText="1"/>
    </xf>
    <xf numFmtId="0" fontId="40" fillId="6" borderId="0" xfId="0" applyFont="1" applyFill="1" applyAlignment="1">
      <alignment horizontal="center" vertical="center"/>
    </xf>
    <xf numFmtId="0" fontId="65" fillId="0" borderId="7" xfId="0" applyFont="1" applyBorder="1" applyAlignment="1">
      <alignment horizontal="center" vertical="center" wrapText="1"/>
    </xf>
    <xf numFmtId="0" fontId="66" fillId="0" borderId="7" xfId="0" applyFont="1" applyBorder="1" applyAlignment="1">
      <alignment horizontal="center" vertical="center"/>
    </xf>
    <xf numFmtId="0" fontId="66" fillId="0" borderId="7" xfId="0" applyFont="1" applyBorder="1" applyAlignment="1">
      <alignment horizontal="left" vertical="center"/>
    </xf>
    <xf numFmtId="0" fontId="66" fillId="0" borderId="7" xfId="0" applyFont="1" applyBorder="1" applyAlignment="1">
      <alignment horizontal="justify" vertical="center" wrapText="1"/>
    </xf>
    <xf numFmtId="0" fontId="66" fillId="0" borderId="7" xfId="0" applyFont="1" applyBorder="1" applyAlignment="1">
      <alignment vertical="center" wrapText="1"/>
    </xf>
    <xf numFmtId="0" fontId="66" fillId="0" borderId="7" xfId="0" applyFont="1" applyBorder="1" applyAlignment="1">
      <alignment horizontal="center" vertical="center" wrapText="1"/>
    </xf>
    <xf numFmtId="0" fontId="67" fillId="0" borderId="7" xfId="0" applyFont="1" applyBorder="1" applyAlignment="1">
      <alignment horizontal="center" vertical="center"/>
    </xf>
    <xf numFmtId="0" fontId="67" fillId="0" borderId="7" xfId="0" applyFont="1" applyBorder="1" applyAlignment="1">
      <alignment horizontal="left" vertical="center"/>
    </xf>
    <xf numFmtId="0" fontId="68" fillId="0" borderId="7" xfId="0" applyFont="1" applyBorder="1" applyAlignment="1">
      <alignment horizontal="center" vertical="center" wrapText="1"/>
    </xf>
    <xf numFmtId="0" fontId="67" fillId="0" borderId="7" xfId="0" applyFont="1" applyBorder="1" applyAlignment="1">
      <alignment horizontal="justify" vertical="center" wrapText="1"/>
    </xf>
    <xf numFmtId="0" fontId="67" fillId="0" borderId="7" xfId="0" applyFont="1" applyBorder="1" applyAlignment="1">
      <alignment vertical="center" wrapText="1"/>
    </xf>
    <xf numFmtId="0" fontId="66" fillId="0" borderId="7" xfId="0" applyFont="1" applyBorder="1" applyAlignment="1">
      <alignment horizontal="left" vertical="center" wrapText="1"/>
    </xf>
    <xf numFmtId="167" fontId="69" fillId="0" borderId="7" xfId="0" applyNumberFormat="1" applyFont="1" applyBorder="1" applyAlignment="1">
      <alignment horizontal="left" vertical="center"/>
    </xf>
    <xf numFmtId="0" fontId="70" fillId="0" borderId="7" xfId="0" applyFont="1" applyBorder="1" applyAlignment="1">
      <alignment horizontal="center" vertical="center"/>
    </xf>
    <xf numFmtId="0" fontId="70" fillId="0" borderId="7" xfId="0" applyFont="1" applyBorder="1" applyAlignment="1">
      <alignment horizontal="left" vertical="center"/>
    </xf>
    <xf numFmtId="0" fontId="71" fillId="0" borderId="7" xfId="0" applyFont="1" applyBorder="1" applyAlignment="1">
      <alignment horizontal="center" vertical="center" wrapText="1"/>
    </xf>
    <xf numFmtId="0" fontId="70" fillId="0" borderId="7" xfId="0" applyFont="1" applyBorder="1" applyAlignment="1">
      <alignment horizontal="justify" vertical="center" wrapText="1"/>
    </xf>
    <xf numFmtId="0" fontId="70" fillId="0" borderId="7" xfId="0" applyFont="1" applyBorder="1" applyAlignment="1">
      <alignment vertical="center" wrapText="1"/>
    </xf>
    <xf numFmtId="0" fontId="70" fillId="0" borderId="7" xfId="0" applyFont="1" applyBorder="1" applyAlignment="1">
      <alignment horizontal="center" vertical="center" wrapText="1"/>
    </xf>
    <xf numFmtId="0" fontId="72" fillId="0" borderId="7" xfId="0" applyFont="1" applyBorder="1" applyAlignment="1">
      <alignment horizontal="center" vertical="center"/>
    </xf>
    <xf numFmtId="0" fontId="53" fillId="8" borderId="4" xfId="0" applyFont="1" applyFill="1" applyBorder="1" applyAlignment="1">
      <alignment horizontal="center" vertical="center" wrapText="1"/>
    </xf>
    <xf numFmtId="0" fontId="67" fillId="0" borderId="7" xfId="0" applyFont="1" applyBorder="1" applyAlignment="1">
      <alignment horizontal="center" vertical="center" wrapText="1"/>
    </xf>
    <xf numFmtId="10" fontId="48" fillId="2" borderId="4" xfId="0" applyNumberFormat="1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48" fillId="10" borderId="0" xfId="0" applyFont="1" applyFill="1" applyAlignment="1">
      <alignment horizontal="center" vertical="center" wrapText="1"/>
    </xf>
    <xf numFmtId="0" fontId="66" fillId="2" borderId="1" xfId="0" applyFont="1" applyFill="1" applyBorder="1" applyAlignment="1">
      <alignment horizontal="center" vertical="center" wrapText="1"/>
    </xf>
    <xf numFmtId="10" fontId="48" fillId="8" borderId="4" xfId="0" applyNumberFormat="1" applyFont="1" applyFill="1" applyBorder="1" applyAlignment="1">
      <alignment horizontal="center" vertical="center" wrapText="1"/>
    </xf>
    <xf numFmtId="0" fontId="51" fillId="8" borderId="4" xfId="0" applyFont="1" applyFill="1" applyBorder="1" applyAlignment="1">
      <alignment horizontal="center" vertical="center" wrapText="1"/>
    </xf>
    <xf numFmtId="167" fontId="67" fillId="0" borderId="7" xfId="0" applyNumberFormat="1" applyFont="1" applyBorder="1" applyAlignment="1">
      <alignment horizontal="left" vertical="center"/>
    </xf>
    <xf numFmtId="167" fontId="40" fillId="0" borderId="7" xfId="0" applyNumberFormat="1" applyFont="1" applyBorder="1" applyAlignment="1">
      <alignment horizontal="left" vertical="center" wrapText="1"/>
    </xf>
    <xf numFmtId="167" fontId="40" fillId="7" borderId="7" xfId="0" applyNumberFormat="1" applyFont="1" applyFill="1" applyBorder="1" applyAlignment="1">
      <alignment horizontal="center" vertical="center" wrapText="1"/>
    </xf>
    <xf numFmtId="167" fontId="70" fillId="0" borderId="7" xfId="0" applyNumberFormat="1" applyFont="1" applyBorder="1" applyAlignment="1">
      <alignment horizontal="left" vertical="center" wrapText="1"/>
    </xf>
    <xf numFmtId="167" fontId="70" fillId="0" borderId="7" xfId="0" applyNumberFormat="1" applyFont="1" applyBorder="1" applyAlignment="1">
      <alignment horizontal="left" vertical="center"/>
    </xf>
    <xf numFmtId="167" fontId="66" fillId="0" borderId="7" xfId="0" applyNumberFormat="1" applyFont="1" applyBorder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2" fillId="5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66" fillId="2" borderId="4" xfId="0" applyFont="1" applyFill="1" applyBorder="1" applyAlignment="1">
      <alignment horizontal="center" vertical="center" wrapText="1"/>
    </xf>
    <xf numFmtId="0" fontId="66" fillId="2" borderId="0" xfId="0" applyFont="1" applyFill="1">
      <alignment vertical="center"/>
    </xf>
    <xf numFmtId="0" fontId="25" fillId="8" borderId="0" xfId="0" applyFont="1" applyFill="1">
      <alignment vertical="center"/>
    </xf>
    <xf numFmtId="0" fontId="48" fillId="8" borderId="4" xfId="0" applyFont="1" applyFill="1" applyBorder="1" applyAlignment="1">
      <alignment vertical="center" wrapText="1"/>
    </xf>
    <xf numFmtId="0" fontId="27" fillId="8" borderId="4" xfId="0" applyFont="1" applyFill="1" applyBorder="1" applyAlignment="1">
      <alignment vertical="center" wrapText="1"/>
    </xf>
    <xf numFmtId="0" fontId="57" fillId="8" borderId="0" xfId="0" applyFont="1" applyFill="1" applyAlignment="1">
      <alignment horizontal="center" vertical="center" wrapText="1"/>
    </xf>
    <xf numFmtId="0" fontId="64" fillId="8" borderId="4" xfId="0" applyFont="1" applyFill="1" applyBorder="1" applyAlignment="1">
      <alignment horizontal="center" vertical="center" wrapText="1"/>
    </xf>
    <xf numFmtId="0" fontId="41" fillId="8" borderId="4" xfId="0" applyFont="1" applyFill="1" applyBorder="1" applyAlignment="1">
      <alignment horizontal="center" vertical="center" wrapText="1"/>
    </xf>
    <xf numFmtId="167" fontId="40" fillId="7" borderId="0" xfId="0" applyNumberFormat="1" applyFont="1" applyFill="1" applyAlignment="1">
      <alignment horizontal="center" vertical="center" wrapText="1"/>
    </xf>
    <xf numFmtId="167" fontId="40" fillId="0" borderId="0" xfId="0" applyNumberFormat="1" applyFont="1" applyAlignment="1">
      <alignment horizontal="left" vertical="center"/>
    </xf>
    <xf numFmtId="167" fontId="70" fillId="0" borderId="0" xfId="0" applyNumberFormat="1" applyFont="1" applyAlignment="1">
      <alignment horizontal="left" vertical="center" wrapText="1"/>
    </xf>
    <xf numFmtId="167" fontId="69" fillId="0" borderId="0" xfId="0" applyNumberFormat="1" applyFont="1" applyAlignment="1">
      <alignment horizontal="left" vertical="center"/>
    </xf>
    <xf numFmtId="167" fontId="70" fillId="0" borderId="0" xfId="0" applyNumberFormat="1" applyFont="1" applyAlignment="1">
      <alignment horizontal="left" vertical="center"/>
    </xf>
    <xf numFmtId="167" fontId="67" fillId="0" borderId="0" xfId="0" applyNumberFormat="1" applyFont="1" applyAlignment="1">
      <alignment horizontal="left" vertical="center"/>
    </xf>
    <xf numFmtId="167" fontId="40" fillId="0" borderId="12" xfId="0" applyNumberFormat="1" applyFont="1" applyBorder="1" applyAlignment="1">
      <alignment vertical="center" wrapText="1"/>
    </xf>
    <xf numFmtId="167" fontId="49" fillId="0" borderId="0" xfId="0" applyNumberFormat="1" applyFont="1" applyAlignment="1">
      <alignment horizontal="left" vertical="center" wrapText="1"/>
    </xf>
    <xf numFmtId="167" fontId="49" fillId="0" borderId="0" xfId="0" applyNumberFormat="1" applyFont="1" applyAlignment="1">
      <alignment horizontal="left" vertical="center"/>
    </xf>
    <xf numFmtId="167" fontId="39" fillId="0" borderId="0" xfId="0" applyNumberFormat="1" applyFont="1" applyAlignment="1">
      <alignment horizontal="left" vertical="center"/>
    </xf>
    <xf numFmtId="167" fontId="40" fillId="12" borderId="0" xfId="0" applyNumberFormat="1" applyFont="1" applyFill="1" applyAlignment="1">
      <alignment horizontal="left" vertical="center" wrapText="1"/>
    </xf>
    <xf numFmtId="167" fontId="77" fillId="0" borderId="0" xfId="0" applyNumberFormat="1" applyFont="1" applyAlignment="1">
      <alignment horizontal="left" vertical="center"/>
    </xf>
    <xf numFmtId="14" fontId="9" fillId="8" borderId="0" xfId="0" applyNumberFormat="1" applyFont="1" applyFill="1" applyAlignment="1">
      <alignment horizontal="center" vertical="center" wrapText="1"/>
    </xf>
    <xf numFmtId="14" fontId="78" fillId="2" borderId="0" xfId="0" applyNumberFormat="1" applyFont="1" applyFill="1" applyAlignment="1">
      <alignment horizontal="center" vertical="center"/>
    </xf>
    <xf numFmtId="0" fontId="78" fillId="2" borderId="0" xfId="0" applyFont="1" applyFill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80" fillId="8" borderId="0" xfId="0" applyFont="1" applyFill="1" applyAlignment="1">
      <alignment horizontal="center" vertical="center"/>
    </xf>
    <xf numFmtId="0" fontId="54" fillId="9" borderId="0" xfId="0" applyFont="1" applyFill="1" applyAlignment="1">
      <alignment horizontal="center" vertical="center"/>
    </xf>
    <xf numFmtId="0" fontId="54" fillId="10" borderId="0" xfId="0" applyFont="1" applyFill="1" applyAlignment="1">
      <alignment horizontal="center" vertical="center"/>
    </xf>
    <xf numFmtId="0" fontId="64" fillId="8" borderId="4" xfId="0" applyFont="1" applyFill="1" applyBorder="1" applyAlignment="1">
      <alignment horizontal="center" vertical="center"/>
    </xf>
    <xf numFmtId="0" fontId="64" fillId="8" borderId="0" xfId="0" applyFont="1" applyFill="1" applyAlignment="1">
      <alignment horizontal="center" vertical="center"/>
    </xf>
    <xf numFmtId="0" fontId="81" fillId="8" borderId="3" xfId="0" applyFont="1" applyFill="1" applyBorder="1" applyAlignment="1">
      <alignment horizontal="center" vertical="center"/>
    </xf>
    <xf numFmtId="0" fontId="48" fillId="8" borderId="0" xfId="0" applyFont="1" applyFill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44" fillId="8" borderId="4" xfId="0" applyFont="1" applyFill="1" applyBorder="1" applyAlignment="1">
      <alignment horizontal="center" vertical="center"/>
    </xf>
    <xf numFmtId="0" fontId="43" fillId="8" borderId="4" xfId="0" applyFont="1" applyFill="1" applyBorder="1" applyAlignment="1">
      <alignment horizontal="center" vertical="center"/>
    </xf>
    <xf numFmtId="0" fontId="55" fillId="8" borderId="0" xfId="0" applyFont="1" applyFill="1" applyAlignment="1">
      <alignment horizontal="center" vertical="center" wrapText="1"/>
    </xf>
    <xf numFmtId="0" fontId="44" fillId="8" borderId="0" xfId="0" applyFont="1" applyFill="1" applyAlignment="1">
      <alignment horizontal="center" vertical="center"/>
    </xf>
    <xf numFmtId="0" fontId="63" fillId="8" borderId="4" xfId="0" applyFont="1" applyFill="1" applyBorder="1" applyAlignment="1">
      <alignment horizontal="center" vertical="center" wrapText="1"/>
    </xf>
    <xf numFmtId="0" fontId="63" fillId="8" borderId="0" xfId="0" applyFont="1" applyFill="1" applyAlignment="1">
      <alignment horizontal="center" vertical="center"/>
    </xf>
    <xf numFmtId="0" fontId="82" fillId="8" borderId="3" xfId="0" applyFont="1" applyFill="1" applyBorder="1" applyAlignment="1">
      <alignment horizontal="center" vertical="center"/>
    </xf>
    <xf numFmtId="14" fontId="63" fillId="8" borderId="4" xfId="0" applyNumberFormat="1" applyFont="1" applyFill="1" applyBorder="1" applyAlignment="1">
      <alignment horizontal="center" vertical="center"/>
    </xf>
    <xf numFmtId="0" fontId="83" fillId="8" borderId="0" xfId="0" applyFont="1" applyFill="1" applyAlignment="1">
      <alignment horizontal="center" vertical="center"/>
    </xf>
    <xf numFmtId="0" fontId="55" fillId="8" borderId="4" xfId="0" applyFont="1" applyFill="1" applyBorder="1" applyAlignment="1">
      <alignment horizontal="center" vertical="center"/>
    </xf>
    <xf numFmtId="0" fontId="82" fillId="8" borderId="0" xfId="0" applyFont="1" applyFill="1" applyAlignment="1">
      <alignment horizontal="center" vertical="center"/>
    </xf>
    <xf numFmtId="14" fontId="64" fillId="8" borderId="4" xfId="0" applyNumberFormat="1" applyFont="1" applyFill="1" applyBorder="1" applyAlignment="1">
      <alignment horizontal="center" vertical="center"/>
    </xf>
    <xf numFmtId="0" fontId="44" fillId="8" borderId="4" xfId="0" applyFont="1" applyFill="1" applyBorder="1">
      <alignment vertical="center"/>
    </xf>
    <xf numFmtId="0" fontId="84" fillId="2" borderId="0" xfId="0" applyFont="1" applyFill="1" applyAlignment="1">
      <alignment horizontal="center" vertical="center"/>
    </xf>
    <xf numFmtId="0" fontId="20" fillId="2" borderId="0" xfId="0" applyFont="1" applyFill="1">
      <alignment vertical="center"/>
    </xf>
    <xf numFmtId="0" fontId="20" fillId="2" borderId="0" xfId="0" applyFont="1" applyFill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0" fontId="85" fillId="2" borderId="16" xfId="0" applyFont="1" applyFill="1" applyBorder="1" applyAlignment="1">
      <alignment horizontal="center" vertical="center" wrapText="1"/>
    </xf>
    <xf numFmtId="0" fontId="85" fillId="2" borderId="0" xfId="0" applyFont="1" applyFill="1">
      <alignment vertical="center"/>
    </xf>
    <xf numFmtId="0" fontId="85" fillId="2" borderId="18" xfId="0" applyFont="1" applyFill="1" applyBorder="1" applyAlignment="1">
      <alignment horizontal="center" vertical="center" wrapText="1"/>
    </xf>
    <xf numFmtId="0" fontId="85" fillId="8" borderId="0" xfId="0" applyFont="1" applyFill="1" applyAlignment="1">
      <alignment horizontal="center" vertical="center"/>
    </xf>
    <xf numFmtId="0" fontId="85" fillId="8" borderId="0" xfId="0" applyFont="1" applyFill="1" applyAlignment="1">
      <alignment horizontal="left" vertical="center"/>
    </xf>
    <xf numFmtId="0" fontId="87" fillId="8" borderId="0" xfId="0" applyFont="1" applyFill="1">
      <alignment vertical="center"/>
    </xf>
    <xf numFmtId="0" fontId="88" fillId="8" borderId="0" xfId="0" applyFont="1" applyFill="1">
      <alignment vertical="center"/>
    </xf>
    <xf numFmtId="0" fontId="90" fillId="8" borderId="0" xfId="0" applyFont="1" applyFill="1">
      <alignment vertical="center"/>
    </xf>
    <xf numFmtId="0" fontId="38" fillId="8" borderId="0" xfId="0" applyFont="1" applyFill="1">
      <alignment vertical="center"/>
    </xf>
    <xf numFmtId="0" fontId="91" fillId="11" borderId="0" xfId="0" applyFont="1" applyFill="1">
      <alignment vertical="center"/>
    </xf>
    <xf numFmtId="0" fontId="87" fillId="8" borderId="0" xfId="0" applyFont="1" applyFill="1" applyAlignment="1">
      <alignment horizontal="center" vertical="center"/>
    </xf>
    <xf numFmtId="0" fontId="88" fillId="8" borderId="0" xfId="0" applyFont="1" applyFill="1" applyAlignment="1">
      <alignment horizontal="center" vertical="center"/>
    </xf>
    <xf numFmtId="0" fontId="89" fillId="8" borderId="0" xfId="0" applyFont="1" applyFill="1" applyAlignment="1">
      <alignment horizontal="center" vertical="center"/>
    </xf>
    <xf numFmtId="0" fontId="38" fillId="9" borderId="0" xfId="0" applyFont="1" applyFill="1" applyAlignment="1">
      <alignment horizontal="center" vertical="center"/>
    </xf>
    <xf numFmtId="0" fontId="38" fillId="10" borderId="0" xfId="0" applyFont="1" applyFill="1" applyAlignment="1">
      <alignment horizontal="center" vertical="center"/>
    </xf>
    <xf numFmtId="0" fontId="38" fillId="10" borderId="0" xfId="0" applyFont="1" applyFill="1" applyAlignment="1">
      <alignment horizontal="center" vertical="center" wrapText="1"/>
    </xf>
    <xf numFmtId="0" fontId="38" fillId="11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4" fillId="8" borderId="8" xfId="0" applyFont="1" applyFill="1" applyBorder="1" applyAlignment="1">
      <alignment horizontal="center" vertical="center" wrapText="1"/>
    </xf>
    <xf numFmtId="0" fontId="27" fillId="8" borderId="8" xfId="0" applyFont="1" applyFill="1" applyBorder="1" applyAlignment="1">
      <alignment horizontal="center" vertical="center" wrapText="1"/>
    </xf>
    <xf numFmtId="0" fontId="30" fillId="8" borderId="4" xfId="0" applyFont="1" applyFill="1" applyBorder="1" applyAlignment="1">
      <alignment horizontal="center" vertical="center" wrapText="1"/>
    </xf>
    <xf numFmtId="9" fontId="44" fillId="8" borderId="4" xfId="0" applyNumberFormat="1" applyFont="1" applyFill="1" applyBorder="1" applyAlignment="1">
      <alignment horizontal="center" vertical="center"/>
    </xf>
    <xf numFmtId="9" fontId="55" fillId="8" borderId="4" xfId="0" applyNumberFormat="1" applyFont="1" applyFill="1" applyBorder="1" applyAlignment="1">
      <alignment horizontal="center" vertical="center"/>
    </xf>
    <xf numFmtId="0" fontId="98" fillId="2" borderId="0" xfId="0" applyFont="1" applyFill="1">
      <alignment vertical="center"/>
    </xf>
    <xf numFmtId="0" fontId="99" fillId="8" borderId="0" xfId="0" applyFont="1" applyFill="1" applyAlignment="1">
      <alignment horizontal="center" vertical="center"/>
    </xf>
    <xf numFmtId="0" fontId="102" fillId="2" borderId="0" xfId="0" applyFont="1" applyFill="1" applyAlignment="1">
      <alignment horizontal="center" vertical="center"/>
    </xf>
    <xf numFmtId="0" fontId="84" fillId="3" borderId="19" xfId="0" applyFont="1" applyFill="1" applyBorder="1" applyAlignment="1">
      <alignment horizontal="center" vertical="center"/>
    </xf>
    <xf numFmtId="0" fontId="85" fillId="2" borderId="16" xfId="0" applyFont="1" applyFill="1" applyBorder="1" applyAlignment="1">
      <alignment horizontal="left" vertical="center" wrapText="1"/>
    </xf>
    <xf numFmtId="0" fontId="85" fillId="8" borderId="16" xfId="0" applyFont="1" applyFill="1" applyBorder="1" applyAlignment="1">
      <alignment horizontal="center" vertical="center" wrapText="1"/>
    </xf>
    <xf numFmtId="0" fontId="86" fillId="8" borderId="16" xfId="0" applyFont="1" applyFill="1" applyBorder="1" applyAlignment="1">
      <alignment horizontal="center" vertical="center" wrapText="1"/>
    </xf>
    <xf numFmtId="0" fontId="85" fillId="8" borderId="16" xfId="0" applyFont="1" applyFill="1" applyBorder="1" applyAlignment="1">
      <alignment horizontal="left" vertical="center" wrapText="1"/>
    </xf>
    <xf numFmtId="0" fontId="43" fillId="8" borderId="21" xfId="0" applyFont="1" applyFill="1" applyBorder="1" applyAlignment="1">
      <alignment horizontal="left" vertical="center" wrapText="1"/>
    </xf>
    <xf numFmtId="168" fontId="85" fillId="2" borderId="16" xfId="0" applyNumberFormat="1" applyFont="1" applyFill="1" applyBorder="1" applyAlignment="1">
      <alignment horizontal="center" vertical="center" wrapText="1"/>
    </xf>
    <xf numFmtId="0" fontId="85" fillId="16" borderId="16" xfId="0" applyFont="1" applyFill="1" applyBorder="1" applyAlignment="1">
      <alignment horizontal="center" vertical="center" wrapText="1"/>
    </xf>
    <xf numFmtId="0" fontId="85" fillId="2" borderId="17" xfId="0" applyFont="1" applyFill="1" applyBorder="1" applyAlignment="1">
      <alignment horizontal="left" vertical="center" wrapText="1"/>
    </xf>
    <xf numFmtId="0" fontId="85" fillId="8" borderId="18" xfId="0" applyFont="1" applyFill="1" applyBorder="1" applyAlignment="1">
      <alignment horizontal="center" vertical="center" wrapText="1"/>
    </xf>
    <xf numFmtId="0" fontId="85" fillId="8" borderId="18" xfId="0" applyFont="1" applyFill="1" applyBorder="1" applyAlignment="1">
      <alignment horizontal="left" vertical="center" wrapText="1"/>
    </xf>
    <xf numFmtId="0" fontId="85" fillId="2" borderId="18" xfId="0" applyFont="1" applyFill="1" applyBorder="1" applyAlignment="1">
      <alignment horizontal="left" vertical="center" wrapText="1"/>
    </xf>
    <xf numFmtId="0" fontId="43" fillId="8" borderId="22" xfId="0" applyFont="1" applyFill="1" applyBorder="1" applyAlignment="1">
      <alignment horizontal="left" vertical="center" wrapText="1"/>
    </xf>
    <xf numFmtId="168" fontId="85" fillId="2" borderId="18" xfId="0" applyNumberFormat="1" applyFont="1" applyFill="1" applyBorder="1" applyAlignment="1">
      <alignment horizontal="center" vertical="center" wrapText="1"/>
    </xf>
    <xf numFmtId="0" fontId="85" fillId="15" borderId="18" xfId="0" applyFont="1" applyFill="1" applyBorder="1" applyAlignment="1">
      <alignment horizontal="center" vertical="center" wrapText="1"/>
    </xf>
    <xf numFmtId="0" fontId="85" fillId="8" borderId="14" xfId="0" applyFont="1" applyFill="1" applyBorder="1" applyAlignment="1">
      <alignment horizontal="center" vertical="center" wrapText="1"/>
    </xf>
    <xf numFmtId="0" fontId="85" fillId="8" borderId="14" xfId="0" applyFont="1" applyFill="1" applyBorder="1" applyAlignment="1">
      <alignment horizontal="left" vertical="center" wrapText="1"/>
    </xf>
    <xf numFmtId="0" fontId="85" fillId="2" borderId="14" xfId="0" applyFont="1" applyFill="1" applyBorder="1" applyAlignment="1">
      <alignment horizontal="left" vertical="center" wrapText="1"/>
    </xf>
    <xf numFmtId="168" fontId="85" fillId="2" borderId="14" xfId="0" applyNumberFormat="1" applyFont="1" applyFill="1" applyBorder="1" applyAlignment="1">
      <alignment horizontal="center" vertical="center" wrapText="1"/>
    </xf>
    <xf numFmtId="0" fontId="85" fillId="15" borderId="14" xfId="0" applyFont="1" applyFill="1" applyBorder="1" applyAlignment="1">
      <alignment horizontal="center" vertical="center" wrapText="1"/>
    </xf>
    <xf numFmtId="0" fontId="85" fillId="2" borderId="14" xfId="0" applyFont="1" applyFill="1" applyBorder="1" applyAlignment="1">
      <alignment horizontal="center" vertical="center" wrapText="1"/>
    </xf>
    <xf numFmtId="0" fontId="85" fillId="8" borderId="20" xfId="0" applyFont="1" applyFill="1" applyBorder="1" applyAlignment="1">
      <alignment horizontal="center" vertical="center" wrapText="1"/>
    </xf>
    <xf numFmtId="0" fontId="85" fillId="8" borderId="20" xfId="0" applyFont="1" applyFill="1" applyBorder="1" applyAlignment="1">
      <alignment horizontal="left" vertical="center" wrapText="1"/>
    </xf>
    <xf numFmtId="0" fontId="43" fillId="8" borderId="23" xfId="0" applyFont="1" applyFill="1" applyBorder="1" applyAlignment="1">
      <alignment horizontal="left" vertical="center" wrapText="1"/>
    </xf>
    <xf numFmtId="168" fontId="85" fillId="2" borderId="20" xfId="0" applyNumberFormat="1" applyFont="1" applyFill="1" applyBorder="1" applyAlignment="1">
      <alignment horizontal="center" vertical="center" wrapText="1"/>
    </xf>
    <xf numFmtId="0" fontId="85" fillId="2" borderId="20" xfId="0" applyFont="1" applyFill="1" applyBorder="1" applyAlignment="1">
      <alignment horizontal="center" vertical="center" wrapText="1"/>
    </xf>
    <xf numFmtId="0" fontId="86" fillId="8" borderId="17" xfId="0" applyFont="1" applyFill="1" applyBorder="1" applyAlignment="1">
      <alignment horizontal="center" vertical="center" wrapText="1"/>
    </xf>
    <xf numFmtId="0" fontId="85" fillId="8" borderId="17" xfId="0" applyFont="1" applyFill="1" applyBorder="1" applyAlignment="1">
      <alignment horizontal="left" vertical="center" wrapText="1"/>
    </xf>
    <xf numFmtId="0" fontId="43" fillId="8" borderId="24" xfId="0" applyFont="1" applyFill="1" applyBorder="1" applyAlignment="1">
      <alignment horizontal="left" vertical="center" wrapText="1"/>
    </xf>
    <xf numFmtId="168" fontId="85" fillId="2" borderId="17" xfId="0" applyNumberFormat="1" applyFont="1" applyFill="1" applyBorder="1" applyAlignment="1">
      <alignment horizontal="center" vertical="center" wrapText="1"/>
    </xf>
    <xf numFmtId="0" fontId="85" fillId="2" borderId="17" xfId="0" applyFont="1" applyFill="1" applyBorder="1" applyAlignment="1">
      <alignment horizontal="center" vertical="center" wrapText="1"/>
    </xf>
    <xf numFmtId="0" fontId="85" fillId="2" borderId="20" xfId="0" applyFont="1" applyFill="1" applyBorder="1" applyAlignment="1">
      <alignment horizontal="left" vertical="center" wrapText="1"/>
    </xf>
    <xf numFmtId="0" fontId="86" fillId="8" borderId="20" xfId="0" applyFont="1" applyFill="1" applyBorder="1" applyAlignment="1">
      <alignment horizontal="center" vertical="center" wrapText="1"/>
    </xf>
    <xf numFmtId="0" fontId="85" fillId="15" borderId="20" xfId="0" applyFont="1" applyFill="1" applyBorder="1" applyAlignment="1">
      <alignment horizontal="center" vertical="center" wrapText="1"/>
    </xf>
    <xf numFmtId="0" fontId="85" fillId="2" borderId="18" xfId="0" applyFont="1" applyFill="1" applyBorder="1" applyAlignment="1">
      <alignment vertical="center" wrapText="1"/>
    </xf>
    <xf numFmtId="0" fontId="43" fillId="8" borderId="28" xfId="0" applyFont="1" applyFill="1" applyBorder="1" applyAlignment="1">
      <alignment horizontal="left" vertical="center" wrapText="1"/>
    </xf>
    <xf numFmtId="0" fontId="85" fillId="16" borderId="18" xfId="0" applyFont="1" applyFill="1" applyBorder="1" applyAlignment="1">
      <alignment horizontal="center" vertical="center" wrapText="1"/>
    </xf>
    <xf numFmtId="0" fontId="98" fillId="2" borderId="20" xfId="0" applyFont="1" applyFill="1" applyBorder="1" applyAlignment="1">
      <alignment vertical="center" wrapText="1"/>
    </xf>
    <xf numFmtId="0" fontId="98" fillId="13" borderId="15" xfId="0" applyFont="1" applyFill="1" applyBorder="1" applyAlignment="1">
      <alignment horizontal="left" vertical="center" wrapText="1"/>
    </xf>
    <xf numFmtId="0" fontId="96" fillId="14" borderId="29" xfId="0" applyFont="1" applyFill="1" applyBorder="1" applyAlignment="1">
      <alignment horizontal="left" vertical="center" wrapText="1"/>
    </xf>
    <xf numFmtId="168" fontId="85" fillId="13" borderId="15" xfId="0" applyNumberFormat="1" applyFont="1" applyFill="1" applyBorder="1" applyAlignment="1">
      <alignment horizontal="center" vertical="center" wrapText="1"/>
    </xf>
    <xf numFmtId="0" fontId="98" fillId="13" borderId="15" xfId="0" applyFont="1" applyFill="1" applyBorder="1" applyAlignment="1">
      <alignment horizontal="center" vertical="center" wrapText="1"/>
    </xf>
    <xf numFmtId="0" fontId="86" fillId="8" borderId="18" xfId="0" applyFont="1" applyFill="1" applyBorder="1" applyAlignment="1">
      <alignment horizontal="center" vertical="center" wrapText="1"/>
    </xf>
    <xf numFmtId="0" fontId="43" fillId="8" borderId="30" xfId="0" applyFont="1" applyFill="1" applyBorder="1" applyAlignment="1">
      <alignment horizontal="left" vertical="center" wrapText="1"/>
    </xf>
    <xf numFmtId="0" fontId="85" fillId="2" borderId="15" xfId="0" applyFont="1" applyFill="1" applyBorder="1" applyAlignment="1">
      <alignment horizontal="center" vertical="center" wrapText="1"/>
    </xf>
    <xf numFmtId="0" fontId="43" fillId="8" borderId="25" xfId="0" applyFont="1" applyFill="1" applyBorder="1" applyAlignment="1">
      <alignment horizontal="left" vertical="center" wrapText="1"/>
    </xf>
    <xf numFmtId="0" fontId="43" fillId="2" borderId="0" xfId="0" applyFont="1" applyFill="1" applyAlignment="1">
      <alignment horizontal="left" vertical="center" wrapText="1"/>
    </xf>
    <xf numFmtId="0" fontId="85" fillId="2" borderId="26" xfId="0" applyFont="1" applyFill="1" applyBorder="1" applyAlignment="1">
      <alignment horizontal="left" vertical="center" wrapText="1"/>
    </xf>
    <xf numFmtId="168" fontId="85" fillId="2" borderId="27" xfId="0" applyNumberFormat="1" applyFont="1" applyFill="1" applyBorder="1" applyAlignment="1">
      <alignment horizontal="center" vertical="center" wrapText="1"/>
    </xf>
    <xf numFmtId="169" fontId="85" fillId="2" borderId="19" xfId="0" applyNumberFormat="1" applyFont="1" applyFill="1" applyBorder="1" applyAlignment="1">
      <alignment horizontal="center" vertical="center" wrapText="1"/>
    </xf>
    <xf numFmtId="0" fontId="43" fillId="2" borderId="23" xfId="0" applyFont="1" applyFill="1" applyBorder="1" applyAlignment="1">
      <alignment horizontal="left" vertical="center" wrapText="1"/>
    </xf>
    <xf numFmtId="0" fontId="40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80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48" fillId="0" borderId="4" xfId="0" applyFont="1" applyBorder="1" applyAlignment="1">
      <alignment horizontal="center" vertical="center" wrapText="1"/>
    </xf>
    <xf numFmtId="0" fontId="48" fillId="0" borderId="0" xfId="0" applyFont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center" wrapText="1"/>
    </xf>
    <xf numFmtId="0" fontId="57" fillId="0" borderId="4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57" fillId="0" borderId="4" xfId="0" applyFont="1" applyBorder="1" applyAlignment="1">
      <alignment horizontal="center" vertical="center"/>
    </xf>
    <xf numFmtId="0" fontId="55" fillId="0" borderId="4" xfId="0" applyFont="1" applyBorder="1" applyAlignment="1">
      <alignment horizontal="center" vertical="center" wrapText="1"/>
    </xf>
    <xf numFmtId="0" fontId="100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7" fillId="0" borderId="0" xfId="0" applyFont="1">
      <alignment vertical="center"/>
    </xf>
    <xf numFmtId="0" fontId="13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61" fillId="0" borderId="4" xfId="0" applyFont="1" applyBorder="1" applyAlignment="1">
      <alignment horizontal="center" vertical="center" wrapText="1"/>
    </xf>
    <xf numFmtId="9" fontId="57" fillId="0" borderId="4" xfId="0" applyNumberFormat="1" applyFont="1" applyBorder="1" applyAlignment="1">
      <alignment horizontal="center" vertical="center"/>
    </xf>
    <xf numFmtId="0" fontId="64" fillId="0" borderId="4" xfId="0" applyFont="1" applyBorder="1" applyAlignment="1">
      <alignment horizontal="center" vertical="center"/>
    </xf>
    <xf numFmtId="0" fontId="64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6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81" fillId="0" borderId="3" xfId="0" applyFont="1" applyBorder="1" applyAlignment="1">
      <alignment horizontal="center" vertical="center"/>
    </xf>
    <xf numFmtId="0" fontId="101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14" fontId="64" fillId="0" borderId="4" xfId="0" applyNumberFormat="1" applyFont="1" applyBorder="1" applyAlignment="1">
      <alignment horizontal="center" vertical="center"/>
    </xf>
    <xf numFmtId="14" fontId="13" fillId="0" borderId="4" xfId="0" applyNumberFormat="1" applyFont="1" applyBorder="1" applyAlignment="1">
      <alignment horizontal="center" vertical="center"/>
    </xf>
    <xf numFmtId="0" fontId="101" fillId="0" borderId="0" xfId="0" applyFont="1" applyAlignment="1">
      <alignment horizontal="center" vertical="center"/>
    </xf>
    <xf numFmtId="0" fontId="103" fillId="0" borderId="0" xfId="0" applyFont="1">
      <alignment vertical="center"/>
    </xf>
    <xf numFmtId="0" fontId="43" fillId="0" borderId="0" xfId="0" applyFont="1">
      <alignment vertical="center"/>
    </xf>
    <xf numFmtId="0" fontId="43" fillId="0" borderId="8" xfId="0" applyFont="1" applyBorder="1" applyAlignment="1">
      <alignment vertical="center" wrapText="1"/>
    </xf>
    <xf numFmtId="0" fontId="43" fillId="0" borderId="4" xfId="0" applyFont="1" applyBorder="1" applyAlignment="1">
      <alignment horizontal="center" vertical="center" wrapText="1"/>
    </xf>
    <xf numFmtId="0" fontId="44" fillId="0" borderId="4" xfId="0" applyFont="1" applyBorder="1" applyAlignment="1">
      <alignment horizontal="center" vertical="center" wrapText="1"/>
    </xf>
    <xf numFmtId="0" fontId="44" fillId="0" borderId="4" xfId="0" applyFont="1" applyBorder="1" applyAlignment="1">
      <alignment vertical="center" wrapText="1"/>
    </xf>
    <xf numFmtId="0" fontId="38" fillId="0" borderId="0" xfId="0" applyFont="1">
      <alignment vertical="center"/>
    </xf>
    <xf numFmtId="0" fontId="43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0" fillId="0" borderId="4" xfId="0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10" fontId="44" fillId="0" borderId="4" xfId="0" applyNumberFormat="1" applyFont="1" applyBorder="1" applyAlignment="1">
      <alignment horizontal="center" vertical="center" wrapText="1"/>
    </xf>
    <xf numFmtId="0" fontId="92" fillId="0" borderId="4" xfId="0" applyFont="1" applyBorder="1" applyAlignment="1">
      <alignment horizontal="center" vertical="center" wrapText="1"/>
    </xf>
    <xf numFmtId="0" fontId="42" fillId="0" borderId="4" xfId="0" applyFont="1" applyBorder="1" applyAlignment="1">
      <alignment horizontal="center" vertical="center" wrapText="1"/>
    </xf>
    <xf numFmtId="0" fontId="93" fillId="0" borderId="4" xfId="0" applyFont="1" applyBorder="1" applyAlignment="1">
      <alignment horizontal="center" vertical="center" wrapText="1"/>
    </xf>
    <xf numFmtId="0" fontId="38" fillId="0" borderId="4" xfId="0" applyFont="1" applyBorder="1" applyAlignment="1">
      <alignment horizontal="center" vertical="center" wrapText="1"/>
    </xf>
    <xf numFmtId="0" fontId="44" fillId="0" borderId="4" xfId="0" applyFont="1" applyBorder="1" applyAlignment="1">
      <alignment horizontal="center" vertical="center"/>
    </xf>
    <xf numFmtId="0" fontId="44" fillId="0" borderId="4" xfId="0" applyFont="1" applyBorder="1">
      <alignment vertical="center"/>
    </xf>
    <xf numFmtId="0" fontId="44" fillId="0" borderId="0" xfId="0" applyFont="1" applyAlignment="1">
      <alignment vertical="center" wrapText="1"/>
    </xf>
    <xf numFmtId="0" fontId="44" fillId="0" borderId="3" xfId="0" applyFont="1" applyBorder="1" applyAlignment="1">
      <alignment vertical="center" wrapText="1"/>
    </xf>
    <xf numFmtId="0" fontId="44" fillId="0" borderId="3" xfId="0" applyFont="1" applyBorder="1" applyAlignment="1">
      <alignment horizontal="center" vertical="center"/>
    </xf>
    <xf numFmtId="168" fontId="44" fillId="0" borderId="0" xfId="0" applyNumberFormat="1" applyFont="1" applyAlignment="1">
      <alignment horizontal="center" vertical="center"/>
    </xf>
    <xf numFmtId="168" fontId="44" fillId="0" borderId="0" xfId="0" applyNumberFormat="1" applyFont="1" applyAlignment="1">
      <alignment horizontal="center" vertical="center" wrapText="1"/>
    </xf>
    <xf numFmtId="14" fontId="44" fillId="0" borderId="0" xfId="0" applyNumberFormat="1" applyFont="1" applyAlignment="1">
      <alignment horizontal="center" vertical="center"/>
    </xf>
    <xf numFmtId="0" fontId="87" fillId="0" borderId="0" xfId="0" applyFont="1">
      <alignment vertical="center"/>
    </xf>
    <xf numFmtId="0" fontId="95" fillId="0" borderId="0" xfId="0" applyFont="1">
      <alignment vertical="center"/>
    </xf>
    <xf numFmtId="0" fontId="95" fillId="0" borderId="0" xfId="0" applyFont="1" applyAlignment="1">
      <alignment horizontal="center" vertical="center"/>
    </xf>
    <xf numFmtId="0" fontId="44" fillId="0" borderId="0" xfId="0" applyFont="1">
      <alignment vertical="center"/>
    </xf>
    <xf numFmtId="0" fontId="27" fillId="0" borderId="4" xfId="0" applyFont="1" applyBorder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14" fontId="13" fillId="0" borderId="4" xfId="0" applyNumberFormat="1" applyFont="1" applyBorder="1" applyAlignment="1">
      <alignment horizontal="center" vertical="center" wrapText="1"/>
    </xf>
    <xf numFmtId="0" fontId="100" fillId="0" borderId="4" xfId="0" applyFont="1" applyBorder="1" applyAlignment="1">
      <alignment horizontal="left" vertical="center" wrapText="1"/>
    </xf>
    <xf numFmtId="0" fontId="55" fillId="0" borderId="4" xfId="0" applyFont="1" applyBorder="1" applyAlignment="1">
      <alignment horizontal="left" vertical="center" wrapText="1"/>
    </xf>
    <xf numFmtId="0" fontId="85" fillId="2" borderId="31" xfId="0" applyFont="1" applyFill="1" applyBorder="1" applyAlignment="1">
      <alignment horizontal="center" vertical="center" wrapText="1"/>
    </xf>
    <xf numFmtId="0" fontId="44" fillId="0" borderId="4" xfId="0" applyFont="1" applyBorder="1" applyAlignment="1">
      <alignment horizontal="left" vertical="center" wrapText="1"/>
    </xf>
    <xf numFmtId="0" fontId="66" fillId="2" borderId="0" xfId="0" applyFont="1" applyFill="1" applyAlignment="1">
      <alignment horizontal="left" vertical="center"/>
    </xf>
    <xf numFmtId="0" fontId="106" fillId="2" borderId="4" xfId="0" applyFont="1" applyFill="1" applyBorder="1" applyAlignment="1">
      <alignment horizontal="center" vertical="center" wrapText="1"/>
    </xf>
    <xf numFmtId="0" fontId="43" fillId="8" borderId="32" xfId="0" applyFont="1" applyFill="1" applyBorder="1" applyAlignment="1">
      <alignment horizontal="left" vertical="center" wrapText="1"/>
    </xf>
    <xf numFmtId="0" fontId="85" fillId="6" borderId="16" xfId="0" applyFont="1" applyFill="1" applyBorder="1" applyAlignment="1">
      <alignment horizontal="center" vertical="center" wrapText="1"/>
    </xf>
    <xf numFmtId="0" fontId="43" fillId="0" borderId="4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 wrapText="1"/>
    </xf>
    <xf numFmtId="0" fontId="52" fillId="0" borderId="4" xfId="0" applyFont="1" applyBorder="1" applyAlignment="1">
      <alignment horizontal="center" vertical="center" wrapText="1"/>
    </xf>
    <xf numFmtId="0" fontId="63" fillId="0" borderId="4" xfId="0" applyFont="1" applyBorder="1" applyAlignment="1">
      <alignment horizontal="center" vertical="center" wrapText="1"/>
    </xf>
    <xf numFmtId="9" fontId="44" fillId="0" borderId="4" xfId="0" applyNumberFormat="1" applyFont="1" applyBorder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82" fillId="0" borderId="3" xfId="0" applyFont="1" applyBorder="1" applyAlignment="1">
      <alignment horizontal="center" vertical="center"/>
    </xf>
    <xf numFmtId="14" fontId="63" fillId="0" borderId="4" xfId="0" applyNumberFormat="1" applyFont="1" applyBorder="1" applyAlignment="1">
      <alignment horizontal="center" vertical="center"/>
    </xf>
    <xf numFmtId="0" fontId="83" fillId="0" borderId="0" xfId="0" applyFont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100" fillId="2" borderId="16" xfId="0" applyFont="1" applyFill="1" applyBorder="1" applyAlignment="1">
      <alignment horizontal="left" vertical="center" wrapText="1"/>
    </xf>
    <xf numFmtId="0" fontId="100" fillId="2" borderId="18" xfId="0" applyFont="1" applyFill="1" applyBorder="1" applyAlignment="1">
      <alignment horizontal="left" vertical="center" wrapText="1"/>
    </xf>
    <xf numFmtId="0" fontId="100" fillId="2" borderId="14" xfId="0" applyFont="1" applyFill="1" applyBorder="1" applyAlignment="1">
      <alignment horizontal="left" vertical="center" wrapText="1"/>
    </xf>
    <xf numFmtId="0" fontId="100" fillId="8" borderId="20" xfId="0" applyFont="1" applyFill="1" applyBorder="1" applyAlignment="1">
      <alignment horizontal="left" vertical="center" wrapText="1"/>
    </xf>
    <xf numFmtId="0" fontId="100" fillId="8" borderId="17" xfId="0" applyFont="1" applyFill="1" applyBorder="1" applyAlignment="1">
      <alignment horizontal="left" vertical="center" wrapText="1"/>
    </xf>
    <xf numFmtId="0" fontId="108" fillId="13" borderId="15" xfId="0" applyFont="1" applyFill="1" applyBorder="1" applyAlignment="1">
      <alignment horizontal="left" vertical="center" wrapText="1"/>
    </xf>
    <xf numFmtId="0" fontId="100" fillId="8" borderId="14" xfId="0" applyFont="1" applyFill="1" applyBorder="1" applyAlignment="1">
      <alignment horizontal="left" vertical="center" wrapText="1"/>
    </xf>
    <xf numFmtId="0" fontId="100" fillId="8" borderId="18" xfId="0" applyFont="1" applyFill="1" applyBorder="1" applyAlignment="1">
      <alignment horizontal="left" vertical="center" wrapText="1"/>
    </xf>
    <xf numFmtId="0" fontId="100" fillId="2" borderId="20" xfId="0" applyFont="1" applyFill="1" applyBorder="1" applyAlignment="1">
      <alignment horizontal="left" vertical="center" wrapText="1"/>
    </xf>
    <xf numFmtId="0" fontId="100" fillId="8" borderId="16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55" fillId="0" borderId="0" xfId="0" applyFont="1" applyAlignment="1">
      <alignment horizontal="left" vertical="center"/>
    </xf>
    <xf numFmtId="0" fontId="100" fillId="0" borderId="0" xfId="0" applyFont="1" applyAlignment="1">
      <alignment horizontal="left" vertical="center"/>
    </xf>
    <xf numFmtId="0" fontId="55" fillId="0" borderId="0" xfId="0" applyFont="1">
      <alignment vertical="center"/>
    </xf>
    <xf numFmtId="0" fontId="109" fillId="0" borderId="0" xfId="0" applyFont="1" applyAlignment="1">
      <alignment horizontal="center" vertical="center"/>
    </xf>
    <xf numFmtId="0" fontId="109" fillId="0" borderId="0" xfId="0" applyFont="1" applyAlignment="1">
      <alignment horizontal="left" vertical="center"/>
    </xf>
    <xf numFmtId="0" fontId="100" fillId="0" borderId="0" xfId="0" applyFont="1">
      <alignment vertical="center"/>
    </xf>
    <xf numFmtId="0" fontId="100" fillId="0" borderId="0" xfId="0" applyFont="1" applyAlignment="1">
      <alignment horizontal="left" vertical="center" wrapText="1"/>
    </xf>
    <xf numFmtId="0" fontId="111" fillId="0" borderId="0" xfId="0" applyFont="1" applyAlignment="1">
      <alignment horizontal="center" vertical="center"/>
    </xf>
    <xf numFmtId="0" fontId="111" fillId="0" borderId="0" xfId="0" applyFont="1">
      <alignment vertical="center"/>
    </xf>
    <xf numFmtId="0" fontId="109" fillId="0" borderId="0" xfId="0" applyFont="1" applyAlignment="1">
      <alignment horizontal="left" vertical="center" wrapText="1"/>
    </xf>
    <xf numFmtId="0" fontId="112" fillId="0" borderId="0" xfId="0" applyFont="1">
      <alignment vertical="center"/>
    </xf>
    <xf numFmtId="0" fontId="66" fillId="2" borderId="0" xfId="0" applyFont="1" applyFill="1" applyAlignment="1">
      <alignment horizontal="center" vertical="center"/>
    </xf>
    <xf numFmtId="0" fontId="43" fillId="2" borderId="1" xfId="0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 wrapText="1"/>
    </xf>
    <xf numFmtId="0" fontId="85" fillId="2" borderId="17" xfId="0" applyFont="1" applyFill="1" applyBorder="1" applyAlignment="1">
      <alignment horizontal="left" vertical="center" wrapText="1"/>
    </xf>
    <xf numFmtId="0" fontId="85" fillId="2" borderId="19" xfId="0" applyFont="1" applyFill="1" applyBorder="1" applyAlignment="1">
      <alignment horizontal="left" vertical="center" wrapText="1"/>
    </xf>
    <xf numFmtId="0" fontId="85" fillId="2" borderId="13" xfId="0" applyFont="1" applyFill="1" applyBorder="1" applyAlignment="1">
      <alignment horizontal="left" vertical="center" wrapText="1"/>
    </xf>
    <xf numFmtId="0" fontId="85" fillId="8" borderId="17" xfId="0" applyFont="1" applyFill="1" applyBorder="1" applyAlignment="1">
      <alignment horizontal="center" vertical="center" wrapText="1"/>
    </xf>
    <xf numFmtId="0" fontId="85" fillId="8" borderId="19" xfId="0" applyFont="1" applyFill="1" applyBorder="1" applyAlignment="1">
      <alignment horizontal="center" vertical="center" wrapText="1"/>
    </xf>
    <xf numFmtId="0" fontId="85" fillId="8" borderId="15" xfId="0" applyFont="1" applyFill="1" applyBorder="1" applyAlignment="1">
      <alignment horizontal="center" vertical="center" wrapText="1"/>
    </xf>
    <xf numFmtId="0" fontId="85" fillId="2" borderId="17" xfId="0" applyFont="1" applyFill="1" applyBorder="1" applyAlignment="1">
      <alignment horizontal="center" vertical="center" wrapText="1"/>
    </xf>
    <xf numFmtId="0" fontId="85" fillId="2" borderId="19" xfId="0" applyFont="1" applyFill="1" applyBorder="1" applyAlignment="1">
      <alignment horizontal="center" vertical="center" wrapText="1"/>
    </xf>
    <xf numFmtId="0" fontId="85" fillId="2" borderId="13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70" fillId="0" borderId="9" xfId="0" applyFont="1" applyBorder="1" applyAlignment="1">
      <alignment horizontal="left" vertical="center" wrapText="1"/>
    </xf>
    <xf numFmtId="0" fontId="70" fillId="0" borderId="10" xfId="0" applyFont="1" applyBorder="1" applyAlignment="1">
      <alignment horizontal="left" vertical="center" wrapText="1"/>
    </xf>
    <xf numFmtId="0" fontId="66" fillId="0" borderId="9" xfId="0" applyFont="1" applyBorder="1" applyAlignment="1">
      <alignment horizontal="left" vertical="center" wrapText="1"/>
    </xf>
    <xf numFmtId="0" fontId="66" fillId="0" borderId="10" xfId="0" applyFont="1" applyBorder="1" applyAlignment="1">
      <alignment horizontal="left" vertical="center" wrapText="1"/>
    </xf>
    <xf numFmtId="0" fontId="70" fillId="0" borderId="9" xfId="0" applyFont="1" applyBorder="1" applyAlignment="1">
      <alignment horizontal="center" vertical="center"/>
    </xf>
    <xf numFmtId="0" fontId="70" fillId="0" borderId="10" xfId="0" applyFont="1" applyBorder="1" applyAlignment="1">
      <alignment horizontal="center" vertical="center"/>
    </xf>
    <xf numFmtId="0" fontId="70" fillId="0" borderId="9" xfId="0" applyFont="1" applyBorder="1" applyAlignment="1">
      <alignment horizontal="left" vertical="center"/>
    </xf>
    <xf numFmtId="0" fontId="70" fillId="0" borderId="10" xfId="0" applyFont="1" applyBorder="1" applyAlignment="1">
      <alignment horizontal="left" vertical="center"/>
    </xf>
    <xf numFmtId="0" fontId="66" fillId="0" borderId="7" xfId="0" applyFont="1" applyBorder="1" applyAlignment="1">
      <alignment horizontal="left" vertical="center" wrapText="1"/>
    </xf>
    <xf numFmtId="0" fontId="70" fillId="0" borderId="7" xfId="0" applyFont="1" applyBorder="1" applyAlignment="1">
      <alignment horizontal="center" vertical="center"/>
    </xf>
    <xf numFmtId="167" fontId="40" fillId="0" borderId="7" xfId="0" applyNumberFormat="1" applyFont="1" applyBorder="1" applyAlignment="1">
      <alignment horizontal="left" vertical="center"/>
    </xf>
    <xf numFmtId="0" fontId="67" fillId="0" borderId="7" xfId="0" applyFont="1" applyBorder="1" applyAlignment="1">
      <alignment horizontal="left" vertical="center" wrapText="1"/>
    </xf>
    <xf numFmtId="0" fontId="67" fillId="0" borderId="7" xfId="0" applyFont="1" applyBorder="1" applyAlignment="1">
      <alignment vertical="center" wrapText="1"/>
    </xf>
    <xf numFmtId="0" fontId="70" fillId="0" borderId="7" xfId="0" applyFont="1" applyBorder="1" applyAlignment="1">
      <alignment vertical="center" wrapText="1"/>
    </xf>
    <xf numFmtId="0" fontId="70" fillId="0" borderId="7" xfId="0" applyFont="1" applyBorder="1" applyAlignment="1">
      <alignment horizontal="left" vertical="center" wrapText="1"/>
    </xf>
    <xf numFmtId="0" fontId="67" fillId="0" borderId="7" xfId="0" applyFont="1" applyBorder="1" applyAlignment="1">
      <alignment horizontal="center" vertical="center"/>
    </xf>
    <xf numFmtId="0" fontId="66" fillId="0" borderId="9" xfId="0" applyFont="1" applyBorder="1" applyAlignment="1">
      <alignment horizontal="center" vertical="center"/>
    </xf>
    <xf numFmtId="0" fontId="66" fillId="0" borderId="11" xfId="0" applyFont="1" applyBorder="1" applyAlignment="1">
      <alignment horizontal="center" vertical="center"/>
    </xf>
    <xf numFmtId="0" fontId="66" fillId="0" borderId="10" xfId="0" applyFont="1" applyBorder="1" applyAlignment="1">
      <alignment horizontal="center" vertical="center"/>
    </xf>
    <xf numFmtId="0" fontId="68" fillId="0" borderId="7" xfId="0" applyFont="1" applyBorder="1" applyAlignment="1">
      <alignment horizontal="center" vertical="center" wrapText="1"/>
    </xf>
    <xf numFmtId="0" fontId="72" fillId="0" borderId="7" xfId="0" applyFont="1" applyBorder="1" applyAlignment="1">
      <alignment horizontal="center" vertical="center"/>
    </xf>
    <xf numFmtId="0" fontId="73" fillId="0" borderId="7" xfId="0" applyFont="1" applyBorder="1" applyAlignment="1">
      <alignment horizontal="center" vertical="center" wrapText="1"/>
    </xf>
    <xf numFmtId="0" fontId="71" fillId="0" borderId="7" xfId="0" applyFont="1" applyBorder="1" applyAlignment="1">
      <alignment horizontal="center" vertical="center" wrapText="1"/>
    </xf>
    <xf numFmtId="0" fontId="65" fillId="0" borderId="7" xfId="0" applyFont="1" applyBorder="1" applyAlignment="1">
      <alignment horizontal="center" vertical="center" wrapText="1"/>
    </xf>
    <xf numFmtId="0" fontId="66" fillId="0" borderId="7" xfId="0" applyFont="1" applyBorder="1" applyAlignment="1">
      <alignment horizontal="center" vertical="center"/>
    </xf>
    <xf numFmtId="0" fontId="72" fillId="0" borderId="7" xfId="0" applyFont="1" applyBorder="1" applyAlignment="1">
      <alignment vertical="center" wrapText="1"/>
    </xf>
    <xf numFmtId="0" fontId="72" fillId="0" borderId="7" xfId="0" applyFont="1" applyBorder="1" applyAlignment="1">
      <alignment horizontal="justify" vertical="center" wrapText="1"/>
    </xf>
    <xf numFmtId="0" fontId="66" fillId="0" borderId="7" xfId="0" applyFont="1" applyBorder="1" applyAlignment="1">
      <alignment vertical="center" wrapText="1"/>
    </xf>
    <xf numFmtId="0" fontId="66" fillId="0" borderId="7" xfId="0" applyFont="1" applyBorder="1" applyAlignment="1">
      <alignment horizontal="justify" vertical="center" wrapText="1"/>
    </xf>
    <xf numFmtId="167" fontId="40" fillId="0" borderId="7" xfId="0" applyNumberFormat="1" applyFont="1" applyBorder="1" applyAlignment="1">
      <alignment horizontal="left" vertical="center" wrapText="1"/>
    </xf>
    <xf numFmtId="167" fontId="70" fillId="0" borderId="9" xfId="0" applyNumberFormat="1" applyFont="1" applyBorder="1" applyAlignment="1">
      <alignment horizontal="left" vertical="center" wrapText="1"/>
    </xf>
    <xf numFmtId="167" fontId="70" fillId="0" borderId="10" xfId="0" applyNumberFormat="1" applyFont="1" applyBorder="1" applyAlignment="1">
      <alignment horizontal="left" vertical="center" wrapText="1"/>
    </xf>
    <xf numFmtId="167" fontId="70" fillId="0" borderId="7" xfId="0" applyNumberFormat="1" applyFont="1" applyBorder="1" applyAlignment="1">
      <alignment horizontal="left" vertical="center" wrapText="1"/>
    </xf>
    <xf numFmtId="167" fontId="70" fillId="0" borderId="7" xfId="0" applyNumberFormat="1" applyFont="1" applyBorder="1" applyAlignment="1">
      <alignment horizontal="left" vertical="center"/>
    </xf>
  </cellXfs>
  <cellStyles count="2">
    <cellStyle name="Normal" xfId="0" builtinId="0"/>
    <cellStyle name="一般 2" xfId="1" xr:uid="{D195CDFB-D644-45B5-AA5B-2DE0CBC931B0}"/>
  </cellStyles>
  <dxfs count="0"/>
  <tableStyles count="0" defaultTableStyle="TableStyleMedium2" defaultPivotStyle="PivotStyleLight16"/>
  <colors>
    <mruColors>
      <color rgb="FFC1FB99"/>
      <color rgb="FF66FFFF"/>
      <color rgb="FFCCFFFF"/>
      <color rgb="FFFF5050"/>
      <color rgb="FFFF33CC"/>
      <color rgb="FF9966FF"/>
      <color rgb="FFFF6600"/>
      <color rgb="FF9933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5.xml"/><Relationship Id="rId21" Type="http://schemas.openxmlformats.org/officeDocument/2006/relationships/externalLink" Target="externalLinks/externalLink10.xml"/><Relationship Id="rId34" Type="http://schemas.openxmlformats.org/officeDocument/2006/relationships/externalLink" Target="externalLinks/externalLink23.xml"/><Relationship Id="rId42" Type="http://schemas.openxmlformats.org/officeDocument/2006/relationships/externalLink" Target="externalLinks/externalLink31.xml"/><Relationship Id="rId47" Type="http://schemas.openxmlformats.org/officeDocument/2006/relationships/externalLink" Target="externalLinks/externalLink36.xml"/><Relationship Id="rId50" Type="http://schemas.openxmlformats.org/officeDocument/2006/relationships/externalLink" Target="externalLinks/externalLink39.xml"/><Relationship Id="rId55" Type="http://schemas.openxmlformats.org/officeDocument/2006/relationships/externalLink" Target="externalLinks/externalLink44.xml"/><Relationship Id="rId63" Type="http://schemas.microsoft.com/office/2017/10/relationships/person" Target="persons/pers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9" Type="http://schemas.openxmlformats.org/officeDocument/2006/relationships/externalLink" Target="externalLinks/externalLink18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externalLink" Target="externalLinks/externalLink21.xml"/><Relationship Id="rId37" Type="http://schemas.openxmlformats.org/officeDocument/2006/relationships/externalLink" Target="externalLinks/externalLink26.xml"/><Relationship Id="rId40" Type="http://schemas.openxmlformats.org/officeDocument/2006/relationships/externalLink" Target="externalLinks/externalLink29.xml"/><Relationship Id="rId45" Type="http://schemas.openxmlformats.org/officeDocument/2006/relationships/externalLink" Target="externalLinks/externalLink34.xml"/><Relationship Id="rId53" Type="http://schemas.openxmlformats.org/officeDocument/2006/relationships/externalLink" Target="externalLinks/externalLink42.xml"/><Relationship Id="rId58" Type="http://schemas.openxmlformats.org/officeDocument/2006/relationships/externalLink" Target="externalLinks/externalLink47.xml"/><Relationship Id="rId66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35" Type="http://schemas.openxmlformats.org/officeDocument/2006/relationships/externalLink" Target="externalLinks/externalLink24.xml"/><Relationship Id="rId43" Type="http://schemas.openxmlformats.org/officeDocument/2006/relationships/externalLink" Target="externalLinks/externalLink32.xml"/><Relationship Id="rId48" Type="http://schemas.openxmlformats.org/officeDocument/2006/relationships/externalLink" Target="externalLinks/externalLink37.xml"/><Relationship Id="rId56" Type="http://schemas.openxmlformats.org/officeDocument/2006/relationships/externalLink" Target="externalLinks/externalLink45.xml"/><Relationship Id="rId64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0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externalLink" Target="externalLinks/externalLink22.xml"/><Relationship Id="rId38" Type="http://schemas.openxmlformats.org/officeDocument/2006/relationships/externalLink" Target="externalLinks/externalLink27.xml"/><Relationship Id="rId46" Type="http://schemas.openxmlformats.org/officeDocument/2006/relationships/externalLink" Target="externalLinks/externalLink35.xml"/><Relationship Id="rId59" Type="http://schemas.openxmlformats.org/officeDocument/2006/relationships/externalLink" Target="externalLinks/externalLink48.xml"/><Relationship Id="rId67" Type="http://schemas.openxmlformats.org/officeDocument/2006/relationships/customXml" Target="../customXml/item3.xml"/><Relationship Id="rId20" Type="http://schemas.openxmlformats.org/officeDocument/2006/relationships/externalLink" Target="externalLinks/externalLink9.xml"/><Relationship Id="rId41" Type="http://schemas.openxmlformats.org/officeDocument/2006/relationships/externalLink" Target="externalLinks/externalLink30.xml"/><Relationship Id="rId54" Type="http://schemas.openxmlformats.org/officeDocument/2006/relationships/externalLink" Target="externalLinks/externalLink43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36" Type="http://schemas.openxmlformats.org/officeDocument/2006/relationships/externalLink" Target="externalLinks/externalLink25.xml"/><Relationship Id="rId49" Type="http://schemas.openxmlformats.org/officeDocument/2006/relationships/externalLink" Target="externalLinks/externalLink38.xml"/><Relationship Id="rId57" Type="http://schemas.openxmlformats.org/officeDocument/2006/relationships/externalLink" Target="externalLinks/externalLink46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0.xml"/><Relationship Id="rId44" Type="http://schemas.openxmlformats.org/officeDocument/2006/relationships/externalLink" Target="externalLinks/externalLink33.xml"/><Relationship Id="rId52" Type="http://schemas.openxmlformats.org/officeDocument/2006/relationships/externalLink" Target="externalLinks/externalLink41.xml"/><Relationship Id="rId60" Type="http://schemas.openxmlformats.org/officeDocument/2006/relationships/theme" Target="theme/theme1.xml"/><Relationship Id="rId6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39" Type="http://schemas.openxmlformats.org/officeDocument/2006/relationships/externalLink" Target="externalLinks/externalLink28.xml"/></Relationships>
</file>

<file path=xl/documenttasks/documenttask1.xml><?xml version="1.0" encoding="utf-8"?>
<Tasks xmlns="http://schemas.microsoft.com/office/tasks/2019/documenttasks">
  <Task id="{C846E109-F48E-49C2-B699-7C7B54AD09D6}">
    <Anchor>
      <Comment id="{2D440BCB-9428-4DCF-9B89-5B9F055F0A06}"/>
    </Anchor>
    <History>
      <Event time="2026-03-24T02:59:26.49" id="{F97008ED-AAAE-4550-960B-DECEABAAADAC}">
        <Attribution userId="S::daphne.ct.lin@acer.com::1febfc1f-bd52-4fcd-94f6-b25ff63d9199" userName="Lin, Daphne CT" userProvider="AD"/>
        <Anchor>
          <Comment id="{9A585264-87D2-4D92-8386-66B0453E500B}"/>
        </Anchor>
        <Create/>
      </Event>
      <Event time="2026-03-24T02:59:26.49" id="{BE3BD029-3B7D-423F-9802-8C298B81904F}">
        <Attribution userId="S::daphne.ct.lin@acer.com::1febfc1f-bd52-4fcd-94f6-b25ff63d9199" userName="Lin, Daphne CT" userProvider="AD"/>
        <Anchor>
          <Comment id="{9A585264-87D2-4D92-8386-66B0453E500B}"/>
        </Anchor>
        <Assign userId="S::Clark.Gurden@acer.com::dc068ebc-b184-4a9d-b15a-63cbf354d48d" userName="Gurden, Clark" userProvider="AD"/>
      </Event>
      <Event time="2026-03-24T02:59:26.49" id="{6BE7EB36-C8BB-437D-B617-4213186F1A92}">
        <Attribution userId="S::daphne.ct.lin@acer.com::1febfc1f-bd52-4fcd-94f6-b25ff63d9199" userName="Lin, Daphne CT" userProvider="AD"/>
        <Anchor>
          <Comment id="{9A585264-87D2-4D92-8386-66B0453E500B}"/>
        </Anchor>
        <SetTitle title="I belive this is a ask to @Gurden, Clark"/>
      </Event>
    </History>
  </Task>
</Tasks>
</file>

<file path=xl/documenttasks/documenttask2.xml><?xml version="1.0" encoding="utf-8"?>
<Tasks xmlns="http://schemas.microsoft.com/office/tasks/2019/documenttasks">
  <Task id="{51118613-653C-4507-B452-C5620CA73DD0}">
    <Anchor>
      <Comment id="{56640389-96E5-4197-9EE9-B0AE1DC1A469}"/>
    </Anchor>
    <History>
      <Event time="2025-04-15T01:31:03.48" id="{B6EFF22A-D0E6-4524-A9F5-1BBC06B23D95}">
        <Attribution userId="S::Burnett.Li@acer.com::2c9dd7b4-2fad-49cb-a05a-e902ba835a96" userName="Li, Burnett" userProvider="AD"/>
        <Anchor>
          <Comment id="{56640389-96E5-4197-9EE9-B0AE1DC1A469}"/>
        </Anchor>
        <Create/>
      </Event>
      <Event time="2025-04-15T01:31:03.48" id="{19458789-305C-4A83-BF60-97D178823F26}">
        <Attribution userId="S::Burnett.Li@acer.com::2c9dd7b4-2fad-49cb-a05a-e902ba835a96" userName="Li, Burnett" userProvider="AD"/>
        <Anchor>
          <Comment id="{56640389-96E5-4197-9EE9-B0AE1DC1A469}"/>
        </Anchor>
        <Assign userId="S::Sylvia.Pan@acer.com::2770e2ad-dc74-4703-8b75-d617525c7537" userName="Pan, Sylvia" userProvider="AD"/>
      </Event>
      <Event time="2025-04-15T01:31:03.48" id="{64A77E73-FC43-450F-973A-3B27EB1D12B3}">
        <Attribution userId="S::Burnett.Li@acer.com::2c9dd7b4-2fad-49cb-a05a-e902ba835a96" userName="Li, Burnett" userProvider="AD"/>
        <Anchor>
          <Comment id="{56640389-96E5-4197-9EE9-B0AE1DC1A469}"/>
        </Anchor>
        <SetTitle title="@Pan, Sylvia Do we have the CPU model info?"/>
      </Event>
    </History>
  </Task>
  <Task id="{269567C5-4009-4A57-ADB3-6E4AE3B00E33}">
    <Anchor>
      <Comment id="{F0C93C96-17C3-43D7-B01E-73EDC8180ACF}"/>
    </Anchor>
    <History>
      <Event time="2025-04-15T01:31:03.48" id="{B6EFF22A-D0E6-4524-A9F5-1BBC06B23D95}">
        <Attribution userId="S::Burnett.Li@acer.com::2c9dd7b4-2fad-49cb-a05a-e902ba835a96" userName="Li, Burnett" userProvider="AD"/>
        <Anchor>
          <Comment id="{F0C93C96-17C3-43D7-B01E-73EDC8180ACF}"/>
        </Anchor>
        <Create/>
      </Event>
      <Event time="2025-04-15T01:31:03.48" id="{19458789-305C-4A83-BF60-97D178823F26}">
        <Attribution userId="S::Burnett.Li@acer.com::2c9dd7b4-2fad-49cb-a05a-e902ba835a96" userName="Li, Burnett" userProvider="AD"/>
        <Anchor>
          <Comment id="{F0C93C96-17C3-43D7-B01E-73EDC8180ACF}"/>
        </Anchor>
        <Assign userId="S::Sylvia.Pan@acer.com::2770e2ad-dc74-4703-8b75-d617525c7537" userName="Pan, Sylvia" userProvider="AD"/>
      </Event>
      <Event time="2025-04-15T01:31:03.48" id="{64A77E73-FC43-450F-973A-3B27EB1D12B3}">
        <Attribution userId="S::Burnett.Li@acer.com::2c9dd7b4-2fad-49cb-a05a-e902ba835a96" userName="Li, Burnett" userProvider="AD"/>
        <Anchor>
          <Comment id="{F0C93C96-17C3-43D7-B01E-73EDC8180ACF}"/>
        </Anchor>
        <SetTitle title="@Pan, Sylvia Do we have the CPU model info?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985630</xdr:colOff>
      <xdr:row>29</xdr:row>
      <xdr:rowOff>1126434</xdr:rowOff>
    </xdr:from>
    <xdr:to>
      <xdr:col>5</xdr:col>
      <xdr:colOff>4938505</xdr:colOff>
      <xdr:row>31</xdr:row>
      <xdr:rowOff>600074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6BE1A3-FDD8-E5FB-69FA-7A85D1C0E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72521" y="17766195"/>
          <a:ext cx="3952875" cy="28032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cer.sharepoint.com/MSOffice/Excel/XL97/FA/FA3006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f0-judy\d\EXP\STK\PRO960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cer.sharepoint.com/Documents%20and%20Settings/Captain_Lo/Local%20Settings/Temporary%20Internet%20Files/OLKCD/History%20bak/WK50/12-10-04%20shortage%20based%20on%20wsp%2012-03-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cer.sharepoint.com/201202/GP/MAY/DT/AAP%20Pricebook_May%202008%20v2.1_20080521_AAP%20Prciebook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ily%20yu\7FOB-F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Sue\budget\AFP\Y2KAFP-AM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S\budget\AFP\Y2KAFP-AM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ue\budget\AFP\Y2KAFP-AM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ew0106\Antonio\OEE%20Number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~1\WSHSIE~1\LOCALS~1\Temp\AS1400_PN_v3.0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~1\WSHSIE~1\LOCALS~1\Temp\AS1400_PN_v2.7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Administrator\Local%20Settings\Temp\WINDOWS\TEMP%20\ABO_RAM_DSM_1029_GRACE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WINDOWS\TEMP\c.notes.data\AI%20FX_020715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Administrator\Local%20Settings\Temp\WINDOWS\TEMP%20\ABO_HDD_DSM_1029_GRACE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e9107062\d$\200511%20-%20Kirkini\Specification\BM%20BOM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cer.sharepoint.com/Documents%20and%20Settings/Wsf_Wang/Local%20Settings/Temporary%20Internet%20Files/OLK39/Daily%20Report/DailyReport_Compal%20June-6-2005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TDATA\Download\pur\ASSY\SCM\A51%20Supply&amp;Demand\SCM%20D-S%20list\WL,MDC,%20BT,Remote%20controller\-WLN-MDC-%20BT0321.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cer.sharepoint.com/Documents%20and%20Settings/Captain_Lo/Local%20Settings/Temporary%20Internet%20Files/OLK298/11-26-04%20shortage%20based%20on%20wsp%2011-19-04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TDATA\Download\Documents%20and%20Settings\Bill_Zhang\&#26700;&#38754;\important\Transfer%20tool0103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~1\COCO_Y~1\LOCALS~1\Temp\Documents%20and%20Settings\Captain_Lo.GI\&#26700;&#38754;\Ramp%20Up_Ford_Thurman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cer.sharepoint.com/PC%20Data/price%20book/AAP%20Price%20Book/200802/FG/AAP%20Pricebook_Feb08.v2.1_20080225_B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cer.sharepoint.com/DOCUME~1/JEANTS~1/LOCALS~1/Temp/notesFFF692/Acer%202007%20Q3%20Sales%20Out%20Report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cer.sharepoint.com/pur/PUR_EM/KB%20RYG/A32%20KB/A32%20Sunrex%20KB%203%2026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cer.sharepoint.com/Documents%20and%20Settings/Captain_Lo.GI/Local%20Settings/Temporary%20Internet%20Files/OLK1/A32_LCD_DSM_0615_Req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China_Retail_Ship_Plan_W48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cer.sharepoint.com/Documents%20and%20Settings/Captain_Lo/Local%20Settings/Temporary%20Internet%20Files/OLKC8/Sunrex%20KB%204%208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28.2.19\download\Documents%20and%20Settings\Victor_Zhou\&#26700;&#38754;\SIRIM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GT\MGT1\98MGT\97MGT\7IS-MAS1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MSOffice\Excel\XL97\FA\FA300600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cer.sharepoint.com/Documents%20and%20Settings/Captain_Lo/Local%20Settings/Temporary%20Internet%20Files/OLKCD/01-11-05%20shortage%20based%20on%20wsp%2001-07-04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cer.sharepoint.com/Documents%20and%20Settings/Captain_Lo/Local%20Settings/Temporary%20Internet%20Files/OLK298/KB%20Daily%20Report%20of%20ECL57&amp;ECQ60&amp;ECL59-1119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cer.sharepoint.com/DOCUME~1/86070902/LOCALS~1/Temp/Azeda%20Vs%20Bondi%20weight-20040119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MGT\MGT1\98MGT\97MGT\7IS-MAS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cer.sharepoint.com/WINDOWS/TEMP/COMS_PC0429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Startup" Target="unzipped/TM240%20G1%20&amp;%20G2%20BOM_ver14.2/KC%20naming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e9107062\d$\Agreed%20Buying%20Cost\October%202002\Andrew-1\Acer\NB\toucan\Cost\Oct\AS1400_buyingcost_draf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cer.sharepoint.com/Documents%20and%20Settings/Captain_Lo/Local%20Settings/Temporary%20Internet%20Files/OLKC8/01-29-05%20shortage%20based%20on%20wsp%2001-28-04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cer.sharepoint.com/2015/Special%20Case/Top21%20check/Top21+Ranking+by+CM-%20150610%20modify%20to%20external%20party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cer.sharepoint.com/3F/&#22577;&#24290;.&#30436;&#40670;/&#22577;&#24290;-920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Lily%20yu\8afp-aci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cer.sharepoint.com/201202/PC%20Data/price%20book/AAP%20Price%20Book/200802/FG/AAP%20FG%20Pricebook_Feb08.v0.5_20080129_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ew0106\Antonio\skydive\stephanie\windows\TEMP\My%20Documents\Project%20On%20Progress\Inspiron\Cyclone\TEMP\~ME0F0B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cer.sharepoint.com/Documents%20and%20Settings/Kenny%20Chen/My%20Documents/daily%20report/BS%20shortage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cer.sharepoint.com/WINDOWS.000/Temporary%20Internet%20Files/Content.IE5/P7BN5PCE/KB%20status%202.19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e9107062\d$\Price%20Calculation\KC%20naming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cer.sharepoint.com/201202/GP/APR/DT/AAP%20Pricebook_April%202008_20080423_all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cer.sharepoint.com/Documents%20and%20Settings/Captain_Lo/Local%20Settings/Temporary%20Internet%20Files/OLK298/KB%20Daily%20Report%20of%20ELW80_1119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40c2\&#26989;&#21209;&#37096;\&#35330;&#21934;&#27284;\&#20840;&#35069;&#3124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-LISTING"/>
      <sheetName val="L&amp;B"/>
      <sheetName val="P&amp;M"/>
      <sheetName val="MV"/>
      <sheetName val="COMPUTER"/>
      <sheetName val="OE"/>
      <sheetName val="Fur"/>
      <sheetName val="F&amp;F"/>
      <sheetName val="FA"/>
      <sheetName val="KL"/>
      <sheetName val="DISPOSAL"/>
      <sheetName val="Revaluation"/>
      <sheetName val="XL4Poppy"/>
      <sheetName val="FA300600"/>
      <sheetName val="DELL CELKEM"/>
      <sheetName val="RISER"/>
      <sheetName val="Planner"/>
      <sheetName val="AVALANCHE"/>
      <sheetName val="fin. nákl."/>
      <sheetName val="rez. nakl"/>
      <sheetName val="mzdy"/>
      <sheetName val="PxL"/>
      <sheetName val="VVVVVVVa"/>
      <sheetName val="VVVVVVVb"/>
      <sheetName val="FA_LISTING"/>
      <sheetName val="Hardtool Costs"/>
      <sheetName val="Softtool-Proto Costs"/>
      <sheetName val="Packaging Sheet"/>
      <sheetName val="Assembly Costs"/>
      <sheetName val="Min Quoted Qty"/>
      <sheetName val="base"/>
      <sheetName val="Others"/>
      <sheetName val="Optiplex"/>
      <sheetName val="Latitude"/>
      <sheetName val="WS"/>
      <sheetName val="Monitor"/>
      <sheetName val="Server"/>
      <sheetName val="DGJコスト"/>
      <sheetName val="その他"/>
      <sheetName val="Master Lists"/>
      <sheetName val="3"/>
      <sheetName val="Information"/>
      <sheetName val="Proto 1"/>
      <sheetName val="LIST"/>
      <sheetName val="MFG MVA Assumption"/>
      <sheetName val="Basic Assumption"/>
      <sheetName val="Material List"/>
      <sheetName val="Pre-BOM"/>
      <sheetName val="Metal_list"/>
      <sheetName val="Blf2+LOM cost bom_080902"/>
      <sheetName val="A-Note Bug list"/>
      <sheetName val="Data lists"/>
      <sheetName val="_x0000__x0000__x0000__x0000__x0000__x0000__x0000__x0000_"/>
      <sheetName val="주E95711"/>
      <sheetName val="Valid Values"/>
      <sheetName val="liste"/>
      <sheetName val="Mat Summary"/>
      <sheetName val="Baseline &amp; Summary"/>
      <sheetName val="Team List"/>
      <sheetName val="SelectValue"/>
      <sheetName val="Cover"/>
      <sheetName val="ﾀｰｹﾞｯﾄコスト"/>
      <sheetName val="L1 SP"/>
      <sheetName val="L1 CA"/>
      <sheetName val="L1 CD"/>
      <sheetName val="L1 HD"/>
      <sheetName val="生產計劃"/>
      <sheetName val="Drop Down List"/>
      <sheetName val="Saturday"/>
      <sheetName val="Sunday"/>
      <sheetName val="Monday"/>
      <sheetName val="Tuesday"/>
      <sheetName val="Wednesday"/>
      <sheetName val="Thursday"/>
      <sheetName val="Friday"/>
      <sheetName val="Int'l Summary"/>
      <sheetName val="Port Summary"/>
      <sheetName val="000000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AKDOWN"/>
      <sheetName val="STK-INC-95產銷"/>
      <sheetName val="GRP-95產銷"/>
      <sheetName val="Value"/>
      <sheetName val="AFP Scope"/>
      <sheetName val="Cover"/>
      <sheetName val="Guidance"/>
      <sheetName val="Scope"/>
      <sheetName val="Main"/>
      <sheetName val="IC"/>
      <sheetName val="HC"/>
      <sheetName val="OPEX"/>
      <sheetName val="PL1"/>
      <sheetName val="PL2"/>
      <sheetName val="PL3"/>
      <sheetName val="PL4"/>
      <sheetName val="PL5"/>
      <sheetName val="PL6"/>
      <sheetName val="PL7"/>
      <sheetName val="PL8"/>
      <sheetName val="PL9"/>
      <sheetName val="PL10"/>
      <sheetName val="PL11"/>
      <sheetName val="PL12"/>
      <sheetName val="IS"/>
      <sheetName val="ME1"/>
      <sheetName val="ME2"/>
      <sheetName val="ME3"/>
      <sheetName val="ME4"/>
      <sheetName val="ME5"/>
      <sheetName val="ME6"/>
      <sheetName val="ME7"/>
      <sheetName val="ME8"/>
      <sheetName val="ME9"/>
      <sheetName val="ME10"/>
      <sheetName val="ME11"/>
      <sheetName val="ME12"/>
      <sheetName val="PL"/>
      <sheetName val="PLq1"/>
      <sheetName val="PLq2"/>
      <sheetName val="PLq3"/>
      <sheetName val="PLq4"/>
      <sheetName val="ME"/>
      <sheetName val="MEq1"/>
      <sheetName val="MEq2"/>
      <sheetName val="MEq3"/>
      <sheetName val="MEq4"/>
      <sheetName val="XXFAR001___Asset_Register_Repo_"/>
      <sheetName val="履約義務類別說明"/>
      <sheetName val="AFP_Scop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wsp 12-03"/>
      <sheetName val="AMD CPU&amp; WLAN"/>
      <sheetName val="Intel Hr60 100%wsp"/>
      <sheetName val="Intel Lopez  100%wsp"/>
      <sheetName val="Intel Hr  80%"/>
      <sheetName val="Intel Lopez   80%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date"/>
      <sheetName val="AP Royalty table"/>
      <sheetName val="Others"/>
      <sheetName val="FG"/>
      <sheetName val="Z-Box"/>
      <sheetName val="Phase o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IS-01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ASSUM"/>
      <sheetName val="MNP"/>
      <sheetName val="MNP-P"/>
      <sheetName val="GP"/>
      <sheetName val="Exp"/>
      <sheetName val="IS-01"/>
      <sheetName val="IS-01A-Commercial"/>
      <sheetName val="IS-01A-Consumer"/>
      <sheetName val="IS-01A-Notebook"/>
      <sheetName val="IS-01A-Server"/>
      <sheetName val="IS-01A-XC"/>
      <sheetName val="IS-01A-PC Others"/>
      <sheetName val="IS-01A-Others"/>
      <sheetName val="IS-O1A-total"/>
      <sheetName val="IS-02"/>
      <sheetName val="IS-02A-commercial"/>
      <sheetName val="IS-02A-consumer"/>
      <sheetName val="IS-02A-notebook"/>
      <sheetName val="IS-02A-server"/>
      <sheetName val="IS-02A-XC"/>
      <sheetName val="IS-02A-PC others"/>
      <sheetName val="IS-02A-Others"/>
      <sheetName val="PRO"/>
      <sheetName val="CE-1"/>
      <sheetName val="IND"/>
      <sheetName val="AR"/>
      <sheetName val="INV"/>
      <sheetName val="BS"/>
      <sheetName val="UIP"/>
      <sheetName val="CF-T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YTD"/>
      <sheetName val="YTDLinewise"/>
      <sheetName val="Sales return &amp; Allowanc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ASSUM"/>
      <sheetName val="MNP"/>
      <sheetName val="MNP-P"/>
      <sheetName val="GP"/>
      <sheetName val="Exp"/>
      <sheetName val="IS-01"/>
      <sheetName val="IS-01A-Commercial"/>
      <sheetName val="IS-01A-Consumer"/>
      <sheetName val="IS-01A-Notebook"/>
      <sheetName val="IS-01A-Server"/>
      <sheetName val="IS-01A-XC"/>
      <sheetName val="IS-01A-PC Others"/>
      <sheetName val="IS-01A-Others"/>
      <sheetName val="IS-O1A-total"/>
      <sheetName val="IS-02"/>
      <sheetName val="IS-02A-commercial"/>
      <sheetName val="IS-02A-consumer"/>
      <sheetName val="IS-02A-notebook"/>
      <sheetName val="IS-02A-server"/>
      <sheetName val="IS-02A-XC"/>
      <sheetName val="IS-02A-PC others"/>
      <sheetName val="IS-02A-Others"/>
      <sheetName val="PRO"/>
      <sheetName val="CE-1"/>
      <sheetName val="IND"/>
      <sheetName val="AR"/>
      <sheetName val="INV"/>
      <sheetName val="BS"/>
      <sheetName val="UIP"/>
      <sheetName val="CF-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ASSUM"/>
      <sheetName val="MNP"/>
      <sheetName val="MNP-P"/>
      <sheetName val="GP"/>
      <sheetName val="Exp"/>
      <sheetName val="IS-01"/>
      <sheetName val="IS-01A-Commercial"/>
      <sheetName val="IS-01A-Consumer"/>
      <sheetName val="IS-01A-Notebook"/>
      <sheetName val="IS-01A-Server"/>
      <sheetName val="IS-01A-XC"/>
      <sheetName val="IS-01A-PC Others"/>
      <sheetName val="IS-01A-Others"/>
      <sheetName val="IS-O1A-total"/>
      <sheetName val="IS-02"/>
      <sheetName val="IS-02A-commercial"/>
      <sheetName val="IS-02A-consumer"/>
      <sheetName val="IS-02A-notebook"/>
      <sheetName val="IS-02A-server"/>
      <sheetName val="IS-02A-XC"/>
      <sheetName val="IS-02A-PC others"/>
      <sheetName val="IS-02A-Others"/>
      <sheetName val="PRO"/>
      <sheetName val="CE-1"/>
      <sheetName val="IND"/>
      <sheetName val="AR"/>
      <sheetName val="INV"/>
      <sheetName val="BS"/>
      <sheetName val="UIP"/>
      <sheetName val="CF-T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YTD"/>
      <sheetName val="YTDLinewise"/>
      <sheetName val="Sales return &amp; Allowanc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EE Numbers (2)"/>
      <sheetName val="Sheet1"/>
      <sheetName val="Sheet2"/>
      <sheetName val="Sheet3"/>
      <sheetName val="OEE Numbers"/>
    </sheetNames>
    <definedNames>
      <definedName name="Battery"/>
      <definedName name="Cable"/>
      <definedName name="Charger"/>
      <definedName name="Cord"/>
      <definedName name="CPU"/>
      <definedName name="FDD"/>
      <definedName name="Ferrari"/>
      <definedName name="Guide"/>
      <definedName name="HDD"/>
      <definedName name="KB"/>
      <definedName name="Kit"/>
      <definedName name="LCD"/>
      <definedName name="Manual"/>
      <definedName name="MDC"/>
      <definedName name="Memory"/>
      <definedName name="MiniPCI"/>
      <definedName name="Mouse"/>
      <definedName name="ODD"/>
      <definedName name="OS"/>
      <definedName name="Reader"/>
      <definedName name="Rev"/>
      <definedName name="RO"/>
      <definedName name="ROFormula"/>
      <definedName name="Saver"/>
      <definedName name="Softload"/>
      <definedName name="USB"/>
      <definedName name="Warranty"/>
      <definedName name="Wiping"/>
      <definedName name="Works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tory"/>
      <sheetName val="PA"/>
      <sheetName val="GC"/>
      <sheetName val="AAP"/>
      <sheetName val="AEB"/>
      <sheetName val="Abbreviation"/>
      <sheetName val="CD_kit"/>
      <sheetName val="UPC+EAN"/>
      <sheetName val="AS1400_PN_v3.0"/>
      <sheetName val="BOM"/>
    </sheetNames>
    <definedNames>
      <definedName name="Batte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tory"/>
      <sheetName val="PA"/>
      <sheetName val="GC"/>
      <sheetName val="AAP"/>
      <sheetName val="AEB"/>
      <sheetName val="Abbreviation"/>
      <sheetName val="CD_kit"/>
      <sheetName val="UPC+EAN"/>
      <sheetName val="AS1400_PN_v2.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CONFIRM"/>
      <sheetName val="GraceFCST"/>
      <sheetName val="CORAM"/>
      <sheetName val="CO"/>
      <sheetName val="RAMReceive"/>
      <sheetName val="MB51"/>
      <sheetName val="BOM"/>
      <sheetName val="INVENTORY"/>
      <sheetName val="ABO_RAM_DSM_1029_GRACE"/>
      <sheetName val="CD_kit"/>
      <sheetName val="ABO"/>
      <sheetName val="FA_LISTING"/>
      <sheetName val="Cover"/>
      <sheetName val="HKE"/>
      <sheetName val="data"/>
      <sheetName val="is"/>
      <sheetName val="inputs"/>
      <sheetName val="UPC+EAN"/>
      <sheetName val="8605ml91"/>
      <sheetName val="Issues List"/>
      <sheetName val="資本支出預算彙總"/>
      <sheetName val="List"/>
      <sheetName val="ConfigList"/>
      <sheetName val="PurInfo"/>
      <sheetName val="equipment info assumptions"/>
      <sheetName val="antenna window"/>
      <sheetName val="CLS_1"/>
      <sheetName val="CLS_2"/>
      <sheetName val="Variables"/>
      <sheetName val="CFPP"/>
      <sheetName val="SCM AV data"/>
      <sheetName val="Key Parts List"/>
      <sheetName val="fa-listing"/>
      <sheetName val="COGS"/>
      <sheetName val="Handset Signal Levels"/>
      <sheetName val="Handset Compander Parameter"/>
      <sheetName val="Sheet2"/>
      <sheetName val="Work"/>
      <sheetName val="notes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WD"/>
      <sheetName val="OPTION"/>
      <sheetName val="Working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CONFIRM"/>
      <sheetName val="GraceFCST"/>
      <sheetName val="COHDD"/>
      <sheetName val="CO"/>
      <sheetName val="HDDReceive"/>
      <sheetName val="MB51"/>
      <sheetName val="BOM"/>
      <sheetName val="INVENTORY"/>
      <sheetName val="CORAM"/>
      <sheetName val="RAMReceive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M"/>
      <sheetName val="Sheet1"/>
      <sheetName val="Sheet2"/>
      <sheetName val="Sheet3"/>
      <sheetName val="CD_kit"/>
      <sheetName val="data"/>
      <sheetName val="COHDD"/>
      <sheetName val="HDDReceiv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y"/>
      <sheetName val="May Details"/>
      <sheetName val="June"/>
      <sheetName val="June Details"/>
      <sheetName val="July"/>
      <sheetName val="July Details"/>
      <sheetName val="Sheet1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key MB44(MOW)"/>
      <sheetName val="Askey  MB51(MOW) WLAN "/>
      <sheetName val="Askey  MB51(MOW) WLAN(update)  "/>
      <sheetName val="Askey MB43 (MOW)WLN"/>
      <sheetName val="SPY "/>
      <sheetName val="Askey MB44(ROW)"/>
      <sheetName val="Askey MB43 (B)  EOL"/>
      <sheetName val="Askey MB43(ROW)"/>
      <sheetName val="Askey MDC"/>
      <sheetName val="Intel 802.11G(MOW)3E10"/>
      <sheetName val="Intel 802.11G(ROW)3E00"/>
      <sheetName val="Intel 802.11B  EOL"/>
      <sheetName val="Intel 802.11AG(US)"/>
      <sheetName val="802.11AG(HI)"/>
      <sheetName val="802.11AG(EU)"/>
      <sheetName val="Blutooth"/>
      <sheetName val="TOOL"/>
      <sheetName val="FRU demand"/>
      <sheetName val="Compal open order "/>
      <sheetName val="R CTO demand"/>
      <sheetName val="Compal stock 4.6"/>
      <sheetName val="Sheet2"/>
      <sheetName val="ABO"/>
      <sheetName val="wsp 01-07"/>
      <sheetName val="wsp 12-03"/>
      <sheetName val="Mat Summary"/>
      <sheetName val="Sheet1"/>
      <sheetName val="BaseData"/>
      <sheetName val="Askey_MB44(MOW)"/>
      <sheetName val="Askey__MB51(MOW)_WLAN_"/>
      <sheetName val="Askey__MB51(MOW)_WLAN(update)__"/>
      <sheetName val="Askey_MB43_(MOW)WLN"/>
      <sheetName val="SPY_"/>
      <sheetName val="Askey_MB44(ROW)"/>
      <sheetName val="Askey_MB43_(B)__EOL"/>
      <sheetName val="Askey_MB43(ROW)"/>
      <sheetName val="Askey_MDC"/>
      <sheetName val="Intel_802_11G(MOW)3E10"/>
      <sheetName val="Intel_802_11G(ROW)3E00"/>
      <sheetName val="Intel_802_11B__EOL"/>
      <sheetName val="Intel_802_11AG(US)"/>
      <sheetName val="802_11AG(HI)"/>
      <sheetName val="802_11AG(EU)"/>
      <sheetName val="wsp_01-07"/>
      <sheetName val="FRU_demand"/>
      <sheetName val="Compal_open_order_"/>
      <sheetName val="R_CTO_demand"/>
      <sheetName val="Compal_stock_4_6"/>
      <sheetName val="wsp_12-03"/>
      <sheetName val="FA-LISTING"/>
      <sheetName val="-WLN-MDC- BT0321.1"/>
      <sheetName val="CORAM"/>
      <sheetName val="RAMReceive"/>
      <sheetName val="Summary Financials"/>
      <sheetName val="明細"/>
      <sheetName val="Companies"/>
      <sheetName val="List"/>
      <sheetName val=""/>
      <sheetName val="Data"/>
      <sheetName val="Intel Lan + AD1885 EBOM"/>
      <sheetName val="Neo"/>
      <sheetName val="Dbase"/>
      <sheetName val="非機種"/>
      <sheetName val="TY9007本勞"/>
      <sheetName val="antenna window"/>
      <sheetName val="MonthMapping"/>
      <sheetName val="general data"/>
      <sheetName val="CD_kit"/>
      <sheetName val="Multilink"/>
      <sheetName val="c18"/>
      <sheetName val="Cable List"/>
      <sheetName val="蘆竹"/>
      <sheetName val="Data lists"/>
      <sheetName val="Drop Down Info"/>
      <sheetName val="G8WZA5 PKG部品表"/>
      <sheetName val="Information"/>
      <sheetName val="Master List"/>
      <sheetName val="Cover"/>
      <sheetName val="Baseline &amp; Summary"/>
      <sheetName val="Team List"/>
      <sheetName val="090701"/>
      <sheetName val="EquipmentCosts"/>
      <sheetName val="Assumptions"/>
      <sheetName val="Labor Rate Calculator"/>
      <sheetName val="ME Dashboard"/>
      <sheetName val="Material Price Assumptions"/>
      <sheetName val="Assembly"/>
      <sheetName val="Metals"/>
      <sheetName val="Plastics"/>
      <sheetName val="small card 基本資料0216_04"/>
      <sheetName val="Cable"/>
      <sheetName val="MFG MVA Assumption"/>
      <sheetName val="Basic Assumption"/>
      <sheetName val="Material List"/>
      <sheetName val="GROSBEAK_0302"/>
      <sheetName val="連絡書１"/>
      <sheetName val="Askey_MB44(MOW)1"/>
      <sheetName val="Askey__MB51(MOW)_WLAN_1"/>
      <sheetName val="Askey__MB51(MOW)_WLAN(update)_1"/>
      <sheetName val="Askey_MB43_(MOW)WLN1"/>
      <sheetName val="SPY_1"/>
      <sheetName val="Askey_MB44(ROW)1"/>
      <sheetName val="Askey_MB43_(B)__EOL1"/>
      <sheetName val="Askey_MB43(ROW)1"/>
      <sheetName val="Askey_MDC1"/>
      <sheetName val="Intel_802_11G(MOW)3E101"/>
      <sheetName val="Intel_802_11G(ROW)3E001"/>
      <sheetName val="Intel_802_11B__EOL1"/>
      <sheetName val="Intel_802_11AG(US)1"/>
      <sheetName val="802_11AG(HI)1"/>
      <sheetName val="802_11AG(EU)1"/>
      <sheetName val="FRU_demand1"/>
      <sheetName val="Compal_open_order_1"/>
      <sheetName val="R_CTO_demand1"/>
      <sheetName val="Compal_stock_4_61"/>
      <sheetName val="wsp_01-071"/>
      <sheetName val="wsp_12-031"/>
      <sheetName val="Intel_Lan_+_AD1885_EBOM"/>
      <sheetName val="Mat_Summary"/>
      <sheetName val="-WLN-MDC-_BT0321_1"/>
      <sheetName val="Cable_List"/>
      <sheetName val="Data_lists"/>
      <sheetName val="Drop_Down_Info"/>
      <sheetName val="G8WZA5_PKG部品表"/>
      <sheetName val="General Instructions"/>
      <sheetName val="IA1"/>
      <sheetName val="Raw BOMS"/>
      <sheetName val="MetricsData"/>
      <sheetName val="Title Page"/>
      <sheetName val="add clock function(mv only)"/>
      <sheetName val="9909ML95"/>
      <sheetName val="Valid Values"/>
      <sheetName val="Bluford3 MB BOM-Intel LAN"/>
      <sheetName val="QuoteFormat"/>
      <sheetName val="ESSM Syst"/>
      <sheetName val="FA_LISTING"/>
      <sheetName val="Issues List"/>
      <sheetName val="生產計劃"/>
      <sheetName val="姓名一览表"/>
      <sheetName val="MPS Q3 FY05"/>
      <sheetName val="FA"/>
      <sheetName val="intel target"/>
      <sheetName val="Ref Data"/>
      <sheetName val="BASIC"/>
      <sheetName val="MPS Q1 FY05"/>
      <sheetName val="MPS Q4 FY04"/>
      <sheetName val="BU6"/>
      <sheetName val="ISRDATA"/>
      <sheetName val="A-Note Bug list"/>
      <sheetName val="YTM"/>
      <sheetName val="total"/>
      <sheetName val="SCM AV data"/>
      <sheetName val="Master Lists"/>
      <sheetName val="S01.BIOS Flash"/>
      <sheetName val="CLS_1"/>
      <sheetName val="CLS_2"/>
      <sheetName val="Variables"/>
      <sheetName val="資料"/>
      <sheetName val="Equipment Info assumptions"/>
      <sheetName val="Weekly FCST &amp; MZC600"/>
      <sheetName val="【PR CHECK LIST】 "/>
      <sheetName val="【測試領料記錄表】"/>
      <sheetName val="【產品標示單-綠】 "/>
      <sheetName val="Tracker_EV1"/>
      <sheetName val="Transformation Wrksht-Mech"/>
      <sheetName val="original"/>
      <sheetName val="WorkbookSettings"/>
      <sheetName val="zsdr82 Tab."/>
      <sheetName val="FA Definitions"/>
      <sheetName val="SBB Table"/>
      <sheetName val="Backlog"/>
      <sheetName val="delta"/>
      <sheetName val="Demand&amp;Supply"/>
      <sheetName val="UPC+EAN"/>
      <sheetName val="Data_Table"/>
      <sheetName val="STD"/>
      <sheetName val="Weekly Manpower"/>
      <sheetName val="Xenon"/>
      <sheetName val="Forwarder_Plan"/>
      <sheetName val="Askey_MB44(MOW)2"/>
      <sheetName val="Askey__MB51(MOW)_WLAN_2"/>
      <sheetName val="Askey__MB51(MOW)_WLAN(update)_2"/>
      <sheetName val="Askey_MB43_(MOW)WLN2"/>
      <sheetName val="SPY_2"/>
      <sheetName val="Askey_MB44(ROW)2"/>
      <sheetName val="Askey_MB43_(B)__EOL2"/>
      <sheetName val="Askey_MB43(ROW)2"/>
      <sheetName val="Askey_MDC2"/>
      <sheetName val="Intel_802_11G(MOW)3E102"/>
      <sheetName val="Intel_802_11G(ROW)3E002"/>
      <sheetName val="Intel_802_11B__EOL2"/>
      <sheetName val="Intel_802_11AG(US)2"/>
      <sheetName val="802_11AG(HI)2"/>
      <sheetName val="802_11AG(EU)2"/>
      <sheetName val="wsp_01-072"/>
      <sheetName val="FRU_demand2"/>
      <sheetName val="Compal_open_order_2"/>
      <sheetName val="R_CTO_demand2"/>
      <sheetName val="Compal_stock_4_62"/>
      <sheetName val="wsp_12-032"/>
      <sheetName val="Mat_Summary1"/>
      <sheetName val="Bluford3_MB_BOM-Intel_LAN"/>
      <sheetName val="Askey_MB44(MOW)3"/>
      <sheetName val="Askey__MB51(MOW)_WLAN_3"/>
      <sheetName val="Askey__MB51(MOW)_WLAN(update)_3"/>
      <sheetName val="Askey_MB43_(MOW)WLN3"/>
      <sheetName val="SPY_3"/>
      <sheetName val="Askey_MB44(ROW)3"/>
      <sheetName val="Askey_MB43_(B)__EOL3"/>
      <sheetName val="Askey_MB43(ROW)3"/>
      <sheetName val="Askey_MDC3"/>
      <sheetName val="Intel_802_11G(MOW)3E103"/>
      <sheetName val="Intel_802_11G(ROW)3E003"/>
      <sheetName val="Intel_802_11B__EOL3"/>
      <sheetName val="Intel_802_11AG(US)3"/>
      <sheetName val="802_11AG(HI)3"/>
      <sheetName val="802_11AG(EU)3"/>
      <sheetName val="wsp_01-073"/>
      <sheetName val="FRU_demand3"/>
      <sheetName val="Compal_open_order_3"/>
      <sheetName val="R_CTO_demand3"/>
      <sheetName val="Compal_stock_4_63"/>
      <sheetName val="wsp_12-033"/>
      <sheetName val="Mat_Summary2"/>
      <sheetName val="Bluford3_MB_BOM-Intel_LAN1"/>
      <sheetName val="Intel_Lan_+_AD1885_EBOM1"/>
      <sheetName val="-WLN-MDC-_BT0321_11"/>
      <sheetName val="antenna_window"/>
      <sheetName val="general_data"/>
      <sheetName val="資本支出預算彙總"/>
      <sheetName val="Debug check list"/>
      <sheetName val="Calendar"/>
      <sheetName val="7.9各部門提交調任明細"/>
      <sheetName val="產品基本信息"/>
      <sheetName val="MenuData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/>
      <sheetData sheetId="169"/>
      <sheetData sheetId="170" refreshError="1"/>
      <sheetData sheetId="171" refreshError="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AMD CPU&amp; WLAN"/>
      <sheetName val="Intel Hr60 100%wsp"/>
      <sheetName val="Intel Lopez  100%wsp"/>
      <sheetName val="Intel Hr  80%"/>
      <sheetName val="Intel Lopez   80%"/>
      <sheetName val="Askey MB44(MOW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Z"/>
      <sheetName val="DATEBASE"/>
      <sheetName val="TOOL"/>
      <sheetName val="DDR Supply"/>
      <sheetName val=" 512MB"/>
      <sheetName val="256MB"/>
      <sheetName val="Difference"/>
      <sheetName val="Forth 20 1G"/>
      <sheetName val="PSI"/>
      <sheetName val="FRU demand"/>
      <sheetName val="Compal open order "/>
      <sheetName val="R CTO demand"/>
      <sheetName val="Compal stock 4.6"/>
      <sheetName val="Forwarder_Plan"/>
      <sheetName val="ABO"/>
      <sheetName val="List"/>
      <sheetName val="Sheet2"/>
      <sheetName val="zsdr82 Tab."/>
      <sheetName val="全製程出貨資料"/>
      <sheetName val="Sheet1"/>
      <sheetName val="wsp 01-07"/>
      <sheetName val="data"/>
      <sheetName val="Version Control"/>
      <sheetName val="銷退-zcor01n"/>
      <sheetName val="MenuData"/>
      <sheetName val="Transfer tool0103"/>
      <sheetName val="Cover"/>
      <sheetName val="6"/>
      <sheetName val="fa_listing"/>
      <sheetName val="Askey MB44(MOW)"/>
      <sheetName val="notes"/>
      <sheetName val="S01.BIOS Flash"/>
      <sheetName val="CORAM"/>
      <sheetName val="RAMReceive"/>
      <sheetName val="資本支出預算彙總"/>
      <sheetName val="非機種"/>
      <sheetName val="Information"/>
      <sheetName val="蘆竹"/>
      <sheetName val="Mat Summary"/>
      <sheetName val="Cable List"/>
      <sheetName val="TY9007本勞"/>
      <sheetName val="Assembly"/>
      <sheetName val="Composites"/>
      <sheetName val="Metals"/>
      <sheetName val="Plastics"/>
      <sheetName val="General Instructions"/>
      <sheetName val="Drop Down Info"/>
      <sheetName val="AMD MB FBOM_010303"/>
      <sheetName val="Neo"/>
      <sheetName val="Receiving Inspection"/>
      <sheetName val="Q72 Channel Analysis Q4"/>
      <sheetName val="Q73 Channel Analysis Q4"/>
      <sheetName val="OBU"/>
      <sheetName val="Dbase"/>
      <sheetName val="090701"/>
      <sheetName val="Bluford3 MB BOM-Intel LAN"/>
      <sheetName val="Data lists"/>
      <sheetName val="small card 基本資料0216_04"/>
      <sheetName val="Cable"/>
      <sheetName val="MPS Q1 FY05"/>
      <sheetName val="MPS Q4 FY04"/>
      <sheetName val="DDR_Supply"/>
      <sheetName val="_512MB"/>
      <sheetName val="Forth_20_1G"/>
      <sheetName val="FRU_demand"/>
      <sheetName val="Compal_open_order_"/>
      <sheetName val="R_CTO_demand"/>
      <sheetName val="Compal_stock_4_6"/>
      <sheetName val="Version_Control"/>
      <sheetName val="AMD_MB_FBOM_010303"/>
      <sheetName val="zsdr82_Tab_"/>
      <sheetName val="Askey_MB44(MOW)"/>
      <sheetName val="wsp_01-07"/>
      <sheetName val="Mat_Summary"/>
      <sheetName val="Cable_List"/>
      <sheetName val="General_Instructions"/>
      <sheetName val="Drop_Down_Info"/>
      <sheetName val="QuoteFormat"/>
      <sheetName val="MPS Q2 FY05"/>
      <sheetName val="Master List"/>
      <sheetName val="ISRDATA"/>
      <sheetName val="FA"/>
      <sheetName val="CD_kit"/>
      <sheetName val="UPC+EAN"/>
      <sheetName val="Cost Breakdown"/>
      <sheetName val="連絡書１"/>
      <sheetName val="Blf2+LOM cost bom_080902"/>
      <sheetName val="Product Data Entry"/>
      <sheetName val="All"/>
      <sheetName val="Setup"/>
      <sheetName val="Ref Data"/>
      <sheetName val="Delta to Last Week"/>
      <sheetName val="MPU Other"/>
      <sheetName val="Matl1"/>
      <sheetName val="0518"/>
      <sheetName val="ESSM Syst"/>
      <sheetName val="FCT August"/>
      <sheetName val="1"/>
      <sheetName val="Master Lists"/>
      <sheetName val="生產計劃"/>
      <sheetName val="Demand&amp;Supply"/>
      <sheetName val="Team List"/>
      <sheetName val="0512MB"/>
      <sheetName val="fa-listing"/>
      <sheetName val="MonthMapping"/>
      <sheetName val="SBB Table"/>
      <sheetName val="Backlog"/>
      <sheetName val="delta"/>
      <sheetName val="wsp 12-03"/>
      <sheetName val="Summary"/>
      <sheetName val="#REF!"/>
      <sheetName val="CAUDIT"/>
      <sheetName val="2019-07"/>
      <sheetName val="参数表"/>
      <sheetName val="Work"/>
      <sheetName val="Data_Table"/>
      <sheetName val="SCM AV data"/>
      <sheetName val="資料"/>
      <sheetName val="G8WZA5 PKG部品表"/>
      <sheetName val="Pivot Table"/>
      <sheetName val="Calculations"/>
      <sheetName val="WorkbookSettings"/>
      <sheetName val="Data Selections (Hide &amp; Lock) "/>
      <sheetName val="Title Page"/>
      <sheetName val="一人一機"/>
      <sheetName val="FAE reports"/>
      <sheetName val="Imformation"/>
      <sheetName val="MetricsData"/>
      <sheetName val="FHCs"/>
      <sheetName val="antenna window"/>
      <sheetName val="產品基本信息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pez &amp; HR60 MV"/>
      <sheetName val="Tooling Allocatiojn"/>
      <sheetName val="Schedule"/>
      <sheetName val="Pre-MV unit plan"/>
      <sheetName val="PV-2 unit plan"/>
      <sheetName val="Ford ramp up production plan"/>
      <sheetName val="Ford 1.0 Schedule"/>
      <sheetName val="Thurman 1.0 Schedule"/>
      <sheetName val="0802"/>
      <sheetName val="Milestone"/>
      <sheetName val="放量授權"/>
      <sheetName val="Files"/>
      <sheetName val="TO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date"/>
      <sheetName val="Others"/>
      <sheetName val="FG"/>
      <sheetName val="FG EMRP"/>
      <sheetName val="Z-Box"/>
      <sheetName val="Phase out"/>
      <sheetName val="AAP Pricebook_Feb08.v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Data-Entry"/>
      <sheetName val="Summary"/>
      <sheetName val="Patent Lists"/>
      <sheetName val="Configuration"/>
      <sheetName val="FG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總表"/>
      <sheetName val="R CTO demand"/>
      <sheetName val="FRU demand"/>
      <sheetName val="Compal open order "/>
      <sheetName val="FO"/>
      <sheetName val="Compal stock"/>
      <sheetName val="A32 Sunrex KB 3 26"/>
    </sheetNames>
    <definedNames>
      <definedName name="MiniPCI"/>
      <definedName name="OS"/>
    </definedNames>
    <sheetDataSet>
      <sheetData sheetId="0"/>
      <sheetData sheetId="1"/>
      <sheetData sheetId="2"/>
      <sheetData sheetId="3"/>
      <sheetData sheetId="4" refreshError="1"/>
      <sheetData sheetId="5"/>
      <sheetData sheetId="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ply_Request"/>
      <sheetName val="Demand&amp;Supply"/>
      <sheetName val="PO"/>
      <sheetName val="Order_Shmt Status "/>
      <sheetName val="FO"/>
      <sheetName val="Forwarder_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T Summary 11-18  W48"/>
      <sheetName val="China_W48"/>
      <sheetName val="Taiwan_48"/>
      <sheetName val="BT Summary 11-11  W47"/>
      <sheetName val="China_W47"/>
      <sheetName val="Taiwan_W47"/>
      <sheetName val="Forwarder_Plan"/>
      <sheetName val="Order_Shmt Status "/>
      <sheetName val="Demand&amp;Supply"/>
      <sheetName val="ABO"/>
      <sheetName val="China_Retail_Ship_Plan_W48"/>
      <sheetName val="MonthMapping"/>
      <sheetName val="wsp 12-03"/>
      <sheetName val="zsdr82 Tab."/>
      <sheetName val="Mat Summary"/>
      <sheetName val="Team List"/>
      <sheetName val="Excess Review"/>
      <sheetName val="FO"/>
      <sheetName val="Master Lists"/>
      <sheetName val="Askey MB44(MOW)"/>
      <sheetName val="Sheet2"/>
      <sheetName val="CORAM"/>
      <sheetName val="GraceFCST"/>
      <sheetName val="RAMReceive"/>
      <sheetName val="TOOL"/>
      <sheetName val="Drop Down Info"/>
      <sheetName val=""/>
      <sheetName val="銷退-zcor01n"/>
      <sheetName val="EquityTemplate"/>
      <sheetName val="Summary Financials"/>
      <sheetName val="ChartData"/>
      <sheetName val="ML_Model_Metadata"/>
      <sheetName val="Cover"/>
      <sheetName val="Information"/>
      <sheetName val="wsp 01-07"/>
      <sheetName val="foodbase"/>
      <sheetName val="Data lists"/>
      <sheetName val="BT_Summary_11-18__W48"/>
      <sheetName val="BT_Summary_11-11__W47"/>
      <sheetName val="Order_Shmt_Status_"/>
      <sheetName val="A4"/>
      <sheetName val="Sheet1"/>
      <sheetName val="Baseline &amp; Summary"/>
      <sheetName val="Excess_Review"/>
      <sheetName val="Mat_Summary"/>
      <sheetName val="Team_List"/>
      <sheetName val="wsp_12-03"/>
      <sheetName val="zsdr82_Tab_"/>
      <sheetName val="Cork"/>
      <sheetName val="BLUFORD3 FBOM-update081303"/>
      <sheetName val="Forecast"/>
      <sheetName val="MOD"/>
      <sheetName val="一人一機"/>
      <sheetName val="BaseData"/>
      <sheetName val="All Parts"/>
      <sheetName val="Q7XA FM data"/>
      <sheetName val="Q72A Channel Analysis Q1"/>
      <sheetName val="Q73A Best Channel Analysis Q1"/>
      <sheetName val="Q73A Better Channel Analysis Q1"/>
      <sheetName val="Asus_BOM"/>
      <sheetName val="非機種"/>
      <sheetName val="Requesters"/>
      <sheetName val="CD_kit"/>
      <sheetName val="UPC+EAN"/>
      <sheetName val="89年度"/>
      <sheetName val="LIST"/>
      <sheetName val="6"/>
      <sheetName val="FRU demand"/>
      <sheetName val="Compal open order "/>
      <sheetName val="R CTO demand"/>
      <sheetName val="Compal stock 4.6"/>
      <sheetName val="Issues List"/>
      <sheetName val="G8WZA5 PKG部品表"/>
      <sheetName val="詳細資料"/>
      <sheetName val="Deliverable Summary"/>
      <sheetName val="data"/>
      <sheetName val="Sheet3"/>
      <sheetName val="Macro1"/>
      <sheetName val="Chk_sheet"/>
      <sheetName val="Assembly"/>
      <sheetName val="Composites"/>
      <sheetName val="Metals"/>
      <sheetName val="Plastics"/>
      <sheetName val="Variables1"/>
      <sheetName val="Neo"/>
      <sheetName val="連絡書１"/>
      <sheetName val="蘆竹"/>
      <sheetName val="生產計劃"/>
      <sheetName val="small card 基本資料0216_04"/>
      <sheetName val="TY9007本勞"/>
      <sheetName val="BT_Summary_11-18__W481"/>
      <sheetName val="BT_Summary_11-11__W471"/>
      <sheetName val="Order_Shmt_Status_1"/>
      <sheetName val="Mat_Summary1"/>
      <sheetName val="Drop_Down_Info"/>
      <sheetName val="Excess_Review1"/>
      <sheetName val="Team_List1"/>
      <sheetName val="wsp_12-031"/>
      <sheetName val="zsdr82_Tab_1"/>
      <sheetName val="Master_Lists"/>
      <sheetName val="All_Parts"/>
      <sheetName val="Askey_MB44(MOW)"/>
      <sheetName val="Q7XA_FM_data"/>
      <sheetName val="Q72A_Channel_Analysis_Q1"/>
      <sheetName val="Q73A_Best_Channel_Analysis_Q1"/>
      <sheetName val="Q73A_Better_Channel_Analysis_Q1"/>
      <sheetName val="Issues_List"/>
      <sheetName val="G8WZA5_PKG部品表"/>
      <sheetName val="BLUFORD3_FBOM-update081303"/>
      <sheetName val="Deliverable_Summary"/>
      <sheetName val="Menu Items"/>
      <sheetName val="Plastic特性"/>
      <sheetName val="Plastic機檯費率"/>
      <sheetName val="標準工時"/>
      <sheetName val="Macros"/>
      <sheetName val="copy of lcp - fhc a4.41"/>
      <sheetName val="RO Lookups"/>
      <sheetName val="JANｺｰﾄﾞ"/>
      <sheetName val="Proto 1"/>
      <sheetName val="fa-listing"/>
      <sheetName val="antenna window"/>
      <sheetName val="MPS Q3 FY04"/>
      <sheetName val="Title Page"/>
      <sheetName val="MPM"/>
      <sheetName val="Matl1"/>
      <sheetName val="Cable"/>
      <sheetName val="Q_BF3 FBOM-update011504 (2)"/>
      <sheetName val="BF3_Jan_Cost"/>
      <sheetName val="SupplierBaseInput"/>
      <sheetName val="Setup"/>
      <sheetName val="Overlap Waterfall Barbados_LF"/>
      <sheetName val="Reschedule-Reconfirm"/>
      <sheetName val="ISRDATA"/>
      <sheetName val="Dbase"/>
      <sheetName val="AIR (Inbound material)"/>
      <sheetName val="Enclosure"/>
      <sheetName val="control"/>
      <sheetName val="INCO"/>
      <sheetName val="FDREPORT"/>
      <sheetName val="MetricsData"/>
      <sheetName val="Master List"/>
      <sheetName val="Receiving Inspection"/>
      <sheetName val="Cable List"/>
      <sheetName val="0512MB"/>
      <sheetName val="Report_Temp"/>
      <sheetName val="Admin"/>
      <sheetName val="COGS"/>
      <sheetName val="France Bunting Style"/>
      <sheetName val="France DVX"/>
      <sheetName val="Germany DVX"/>
      <sheetName val="Poland DVX"/>
      <sheetName val="Spain DVX"/>
      <sheetName val="UK DVX"/>
      <sheetName val="UK Scorpion Mini"/>
      <sheetName val="Definition"/>
      <sheetName val="标准"/>
      <sheetName val="전체현황"/>
      <sheetName val="summary"/>
      <sheetName val="來源資料1"/>
      <sheetName val="2.壓合前月缺點名稱報廢率"/>
      <sheetName val="資料庫"/>
      <sheetName val="報廢數據"/>
      <sheetName val="2004-11-23-04-04-24MRB舊版日報表"/>
      <sheetName val="壓後Data"/>
      <sheetName val="原物料耗用-05"/>
      <sheetName val="Y30"/>
      <sheetName val="ub4-fac2"/>
      <sheetName val="Report"/>
      <sheetName val="Database"/>
      <sheetName val="Blf2+LOM cost bom_080902"/>
      <sheetName val="75EX"/>
      <sheetName val="72HY"/>
      <sheetName val="75EY"/>
      <sheetName val="72HX"/>
      <sheetName val="Ref Data"/>
      <sheetName val="Total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總表"/>
      <sheetName val="Compal open order "/>
      <sheetName val="FO"/>
      <sheetName val="R CTO demand"/>
      <sheetName val="FRU demand"/>
      <sheetName val="Sheet2"/>
      <sheetName val="Compal stock 4.6"/>
      <sheetName val=""/>
      <sheetName val="Forwarder_Plan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VXXL01"/>
      <sheetName val="FA-LISTING"/>
      <sheetName val="List"/>
      <sheetName val="FRU demand"/>
      <sheetName val="Compal open order "/>
      <sheetName val="R CTO demand"/>
      <sheetName val="Compal stock 4.6"/>
      <sheetName val="SIRI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NT"/>
      <sheetName val="Sum-01"/>
      <sheetName val="Sum-02"/>
      <sheetName val="Sum-03"/>
      <sheetName val="Sum-Y02"/>
    </sheetNames>
    <definedNames>
      <definedName name="Macro2_Consolidation_Sum_Y10" refersTo="#REF!" sheetId="4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-LISTING"/>
      <sheetName val="L&amp;B"/>
      <sheetName val="P&amp;M"/>
      <sheetName val="MV"/>
      <sheetName val="COMPUTER"/>
      <sheetName val="OE"/>
      <sheetName val="Fur"/>
      <sheetName val="F&amp;F"/>
      <sheetName val="FA"/>
      <sheetName val="KL"/>
      <sheetName val="DISPOSAL"/>
      <sheetName val="Revaluation"/>
      <sheetName val="XL4Poppy"/>
      <sheetName val="Configur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wsp 01-07"/>
      <sheetName val="AMD CPU&amp; WLAN"/>
      <sheetName val="Intel Hr60 100%wsp"/>
      <sheetName val="Intel Lopez  100%wsp"/>
      <sheetName val="Intel Hr  80%"/>
      <sheetName val="Intel Lopez   80%"/>
      <sheetName val="wsp 12-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zsdr82 Tab."/>
      <sheetName val="Sunrex sto."/>
      <sheetName val="Sunrex Sche."/>
      <sheetName val="LiteON sto."/>
      <sheetName val="LiteON Sche."/>
      <sheetName val="ECL57&amp;59 Tab."/>
      <sheetName val="ECQ60 Tab."/>
      <sheetName val="KT1 Qual"/>
      <sheetName val="zsdr82Ta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zeda&amp;Bondi weight"/>
      <sheetName val="List"/>
      <sheetName val="Density"/>
      <sheetName val="Azeda Vs Bondi weight-20040119"/>
      <sheetName val="KCBOM"/>
      <sheetName val="zsdr82 Tab.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NT"/>
      <sheetName val="Sum-01"/>
      <sheetName val="Sum-02"/>
      <sheetName val="Sum-03"/>
      <sheetName val="Sum-Y02"/>
    </sheetNames>
    <definedNames>
      <definedName name="Macro2_Consolidation_Sum_Y10" refersTo="#REF!" sheetId="4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"/>
      <sheetName val="LINE"/>
      <sheetName val="MPSCKList"/>
      <sheetName val="SONoList"/>
      <sheetName val="SOBalance"/>
      <sheetName val="SOBalanceList"/>
      <sheetName val="DSMMatching"/>
      <sheetName val="DSMData"/>
      <sheetName val="FCST_0321_Total"/>
      <sheetName val="FCST_0429_2000"/>
      <sheetName val="MFGPRO_FCST"/>
      <sheetName val="WOTrans"/>
      <sheetName val="54WOTransRawData"/>
      <sheetName val="WOPerformace_PCBA"/>
      <sheetName val="54WOPerformance"/>
      <sheetName val="SMT_PCBA_BALACNE"/>
      <sheetName val="PCBA_WO_BALANCE"/>
      <sheetName val="SMT_WO_BALANCE"/>
      <sheetName val="MPSDemandForWO"/>
      <sheetName val="SystemMPSDetail"/>
      <sheetName val="24PackWOList"/>
      <sheetName val="PackingWOList"/>
      <sheetName val="54WOLIST"/>
      <sheetName val="WOList"/>
      <sheetName val="MonthMapping"/>
      <sheetName val="54PartNoMapping"/>
      <sheetName val="Allocation"/>
      <sheetName val="LCDCross"/>
      <sheetName val="LCDTable"/>
      <sheetName val="TOOL"/>
      <sheetName val="List"/>
      <sheetName val="全製程出貨資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C Naming"/>
      <sheetName val="KT1 Qual"/>
      <sheetName val="MonthMapping"/>
      <sheetName val="KC Naming update list"/>
      <sheetName val="#REF"/>
      <sheetName val="UPC&amp;EAN"/>
      <sheetName val="Sheet1"/>
      <sheetName val="KC%20naming.xls"/>
      <sheetName val="KC naming.xls"/>
      <sheetName val="Naming Rule Ver 3.6"/>
      <sheetName val="Country Kit Rev 3.7"/>
      <sheetName val="AS2020 G1&amp;G2 PN"/>
      <sheetName val="Changing Histroy"/>
      <sheetName val="AS2020 BOM request table"/>
      <sheetName val="Componet"/>
      <sheetName val="Optional Item"/>
      <sheetName val="Abbreviation"/>
      <sheetName val="FA-LISTING"/>
      <sheetName val="data"/>
      <sheetName val="ABO"/>
      <sheetName val="Sheet2"/>
      <sheetName val="Nimitz Base Cover"/>
      <sheetName val="Country List"/>
      <sheetName val="CD_kit"/>
      <sheetName val="//ipc-portal.ies.inventec/DOCUM"/>
      <sheetName val="//ipc-portal.ies.inventec/Price"/>
      <sheetName val="KC_Naming"/>
      <sheetName val="KC_Naming_update_list"/>
      <sheetName val="KT1_Qual"/>
      <sheetName val="KC_Naming1"/>
      <sheetName val="KC_Naming_update_list1"/>
      <sheetName val="KT1_Qual1"/>
      <sheetName val="DataBased"/>
      <sheetName val="Validation"/>
      <sheetName val="__ipc-portal.ies.inventec_Price"/>
      <sheetName val="__ipc-portal.ies.inventec_DOCUM"/>
      <sheetName val="Shiptment"/>
      <sheetName val="SO"/>
      <sheetName val="SCM AV data"/>
      <sheetName val="Cover"/>
      <sheetName val="ISRDATA"/>
      <sheetName val="Pebble FAE reports"/>
      <sheetName val="總表"/>
      <sheetName val="BOM"/>
      <sheetName val="周生產"/>
      <sheetName val="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"/>
      <sheetName val="Sheet4"/>
      <sheetName val="Sheet3"/>
      <sheetName val="KT1 Qual"/>
      <sheetName val="CD_kit"/>
      <sheetName val="AS1400_buyingcost_draft"/>
      <sheetName val="Multibay Optical"/>
      <sheetName val="Antenna Window"/>
      <sheetName val="Issues List"/>
      <sheetName val="2FDAY"/>
      <sheetName val="FAE reports"/>
      <sheetName val="1"/>
      <sheetName val="Data lists"/>
      <sheetName val="FA-LISTING"/>
      <sheetName val="一人一機"/>
      <sheetName val="List"/>
      <sheetName val="總表"/>
      <sheetName val="Hourly Rate"/>
      <sheetName val="Mat Summary"/>
      <sheetName val="KT1_Qual"/>
      <sheetName val="Multibay_Optical"/>
      <sheetName val="Antenna_Window"/>
      <sheetName val="Issues_List"/>
      <sheetName val="FAE_reports"/>
      <sheetName val="Data_lists"/>
      <sheetName val="6"/>
      <sheetName val="Information"/>
      <sheetName val="Master Lists"/>
      <sheetName val="DELL_Schedule"/>
      <sheetName val="销管费用明细"/>
      <sheetName val="KT1_Qual1"/>
      <sheetName val="Multibay_Optical1"/>
      <sheetName val="Antenna_Window1"/>
      <sheetName val="Issues_List1"/>
      <sheetName val="FAE_reports1"/>
      <sheetName val="Data_lists1"/>
      <sheetName val="Price Summary"/>
      <sheetName val="SCM AV data"/>
      <sheetName val="small card 基本資料0216_04"/>
      <sheetName val="Optimal Solution"/>
      <sheetName val="#REF!"/>
      <sheetName val="Kod3 Table"/>
      <sheetName val="All"/>
      <sheetName val="intel target"/>
      <sheetName val="Input commodity fallout"/>
      <sheetName val="Reporting"/>
      <sheetName val="生產計劃"/>
      <sheetName val="FA Definitions"/>
      <sheetName val="OVHD"/>
      <sheetName val="參考--PDA 2003 Defect Rate"/>
      <sheetName val="STD"/>
      <sheetName val="KT1_Qual2"/>
      <sheetName val="Multibay_Optical2"/>
      <sheetName val="Antenna_Window2"/>
      <sheetName val="Issues_List2"/>
      <sheetName val="FAE_reports2"/>
      <sheetName val="Data_lists2"/>
      <sheetName val="Hourly_Rate"/>
      <sheetName val="Mat_Summary"/>
      <sheetName val="SCM_AV_data"/>
      <sheetName val="small_card_基本資料0216_04"/>
      <sheetName val="Master_Lists"/>
      <sheetName val="Price_Summary"/>
      <sheetName val="Kod3_Table"/>
      <sheetName val="Input_commodity_fallout"/>
      <sheetName val="intel_target"/>
      <sheetName val="Definition"/>
      <sheetName val="ISRDATA"/>
      <sheetName val="Mock Up"/>
      <sheetName val="Team List"/>
      <sheetName val="MonthMapping"/>
      <sheetName val="NRE"/>
      <sheetName val="SelectValue"/>
      <sheetName val="Lookup Tables"/>
      <sheetName val="Receiving Inspection"/>
      <sheetName val="Capacity By Modle"/>
      <sheetName val="PICS"/>
      <sheetName val="data"/>
      <sheetName val="ローン 返済表1970"/>
      <sheetName val="BaseLine"/>
      <sheetName val="参数表"/>
      <sheetName val="Reference"/>
      <sheetName val="MetricsData"/>
      <sheetName val="SDL"/>
      <sheetName val="Summary"/>
      <sheetName val="Detailed Quote"/>
      <sheetName val="KT1_Qual3"/>
      <sheetName val="Multibay_Optical3"/>
      <sheetName val="Antenna_Window3"/>
      <sheetName val="Issues_List3"/>
      <sheetName val="FAE_reports3"/>
      <sheetName val="Data_lists3"/>
      <sheetName val="Master_Lists1"/>
      <sheetName val="Hourly_Rate1"/>
      <sheetName val="Mat_Summary1"/>
      <sheetName val="Kod3_Table1"/>
      <sheetName val="Price_Summary1"/>
      <sheetName val="SCM_AV_data1"/>
      <sheetName val="small_card_基本資料0216_041"/>
      <sheetName val="intel_target1"/>
      <sheetName val="Input_commodity_fallout1"/>
      <sheetName val="Optimal_Solution"/>
      <sheetName val="KT1_Qual4"/>
      <sheetName val="Multibay_Optical4"/>
      <sheetName val="Antenna_Window4"/>
      <sheetName val="Issues_List4"/>
      <sheetName val="FAE_reports4"/>
      <sheetName val="Data_lists4"/>
      <sheetName val="Master_Lists2"/>
      <sheetName val="Hourly_Rate2"/>
      <sheetName val="Mat_Summary2"/>
      <sheetName val="Kod3_Table2"/>
      <sheetName val="Price_Summary2"/>
      <sheetName val="SCM_AV_data2"/>
      <sheetName val="small_card_基本資料0216_042"/>
      <sheetName val="intel_target2"/>
      <sheetName val="Input_commodity_fallout2"/>
      <sheetName val="Optimal_Solution1"/>
      <sheetName val="IE Related_URL"/>
      <sheetName val="Thurman PT S&amp;V"/>
      <sheetName val="Line Code"/>
      <sheetName val="自定義"/>
      <sheetName val="2005MPS"/>
      <sheetName val="RUMUS"/>
      <sheetName val="A67Line"/>
      <sheetName val="Mat_list"/>
      <sheetName val="General Inputs"/>
      <sheetName val="Capacity_By_Modle"/>
      <sheetName val="Line_Code"/>
      <sheetName val="General_Inputs"/>
      <sheetName val="Multibay_Optical31"/>
      <sheetName val="Capacity_By_Modle1"/>
      <sheetName val="Line_Code1"/>
      <sheetName val="General_Inputs1"/>
      <sheetName val="72HX"/>
      <sheetName val="75EX"/>
      <sheetName val="72HY"/>
      <sheetName val="75EY"/>
      <sheetName val="Elec.&amp;SW"/>
    </sheetNames>
    <definedNames>
      <definedName name="Country"/>
    </defined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wsp 01-21"/>
      <sheetName val="Sheet2"/>
      <sheetName val="AMD CPU&amp; WLAN"/>
      <sheetName val="Intel Hr60 100%wsp"/>
      <sheetName val="Intel Lopez  100%wsp"/>
      <sheetName val="OS_Country_Kit"/>
      <sheetName val="wsp 01-07"/>
      <sheetName val="MonthMapp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{AR}01"/>
      <sheetName val="Sheet1"/>
    </sheetNames>
    <sheetDataSet>
      <sheetData sheetId="0"/>
      <sheetData sheetId="1" refreshError="1"/>
      <sheetData sheetId="2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報廢"/>
      <sheetName val="報廢 (2)"/>
      <sheetName val="Sheet2 (2)"/>
      <sheetName val="Sheet1"/>
      <sheetName val="Sheet2"/>
      <sheetName val="Sheet3"/>
      <sheetName val="#REF"/>
      <sheetName val="FCT August"/>
      <sheetName val="FA Defini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IS-01"/>
      <sheetName val="8afp-aci"/>
      <sheetName val="8afp-aci.xls"/>
      <sheetName val="ESTI."/>
      <sheetName val="DI-ESTI"/>
    </sheetNames>
    <definedNames>
      <definedName name="Print_macro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date"/>
      <sheetName val="Others"/>
      <sheetName val="FG"/>
      <sheetName val="Z-Box"/>
      <sheetName val="Phase o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FA Definitions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nrex"/>
      <sheetName val="Chicony"/>
      <sheetName val="Darfon"/>
      <sheetName val="總表"/>
      <sheetName val="FO"/>
      <sheetName val="vender stock"/>
      <sheetName val="Shortage"/>
      <sheetName val="OpenPO 2.5"/>
      <sheetName val="Sheet2"/>
      <sheetName val="UPload"/>
      <sheetName val="FCT August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KC Naming"/>
      <sheetName val="KC Naming update list"/>
      <sheetName val="#REF"/>
      <sheetName val="UPC&amp;EAN"/>
      <sheetName val="KT1 Qual"/>
      <sheetName val="Country List"/>
      <sheetName val="SCM AV data"/>
      <sheetName val="Cover"/>
      <sheetName val="ISRDATA"/>
      <sheetName val="Sheet2"/>
      <sheetName val="Pebble FAE reports"/>
      <sheetName val="總表"/>
      <sheetName val="KC_Naming"/>
      <sheetName val="KC_Naming_update_list"/>
      <sheetName val="KT1_Qual"/>
      <sheetName val="KC_Naming1"/>
      <sheetName val="KC_Naming_update_list1"/>
      <sheetName val="KT1_Qual1"/>
      <sheetName val="KC naming.xls"/>
      <sheetName val="KC%20naming.xls"/>
      <sheetName val="Naming Rule Ver 3.6"/>
      <sheetName val="Country Kit Rev 3.7"/>
      <sheetName val="AS2020 G1&amp;G2 PN"/>
      <sheetName val="Changing Histroy"/>
      <sheetName val="AS2020 BOM request table"/>
      <sheetName val="Componet"/>
      <sheetName val="Optional Item"/>
      <sheetName val="Abbreviation"/>
      <sheetName val="DataBased"/>
      <sheetName val="Validation"/>
      <sheetName val="BOM"/>
      <sheetName val="周生產"/>
      <sheetName val="MonthMapping"/>
      <sheetName val="FA-LISTING"/>
      <sheetName val="data"/>
      <sheetName val="ABO"/>
      <sheetName val="Nimitz Base Cover"/>
      <sheetName val="CD_kit"/>
      <sheetName val="//ipc-portal.ies.inventec/DOCUM"/>
      <sheetName val="//ipc-portal.ies.inventec/Price"/>
      <sheetName val="__ipc-portal.ies.inventec_Price"/>
      <sheetName val="__ipc-portal.ies.inventec_DOCUM"/>
      <sheetName val="Shiptment"/>
      <sheetName val="SO"/>
      <sheetName val="Bom(P1)"/>
      <sheetName val="STD"/>
      <sheetName val="9906"/>
      <sheetName val="IA1"/>
      <sheetName val="FAE reports"/>
      <sheetName val="Definition"/>
      <sheetName val="2FDAY"/>
      <sheetName val="pcbo 工時"/>
      <sheetName val="active"/>
      <sheetName val="MACRO"/>
      <sheetName val="Valid Values"/>
      <sheetName val="Macros"/>
      <sheetName val=""/>
      <sheetName val="small card 基本資料0216_04"/>
      <sheetName val="非機種"/>
      <sheetName val="数据暂存"/>
      <sheetName val="Mat Summary"/>
      <sheetName val="Master Lists"/>
      <sheetName val="Issues List"/>
      <sheetName val="SBB Table"/>
      <sheetName val="Texas-M SJC"/>
      <sheetName val="KC_Naming2"/>
      <sheetName val="KC_Naming_update_list2"/>
      <sheetName val="KT1_Qual2"/>
      <sheetName val="Country_List"/>
      <sheetName val="SCM_AV_data"/>
      <sheetName val="Pebble_FAE_reports"/>
      <sheetName val="KC_naming_xls"/>
      <sheetName val="KC%20naming_xls"/>
      <sheetName val="Naming_Rule_Ver_3_6"/>
      <sheetName val="Country_Kit_Rev_3_7"/>
      <sheetName val="AS2020_G1&amp;G2_PN"/>
      <sheetName val="Changing_Histroy"/>
      <sheetName val="AS2020_BOM_request_table"/>
      <sheetName val="Optional_Item"/>
      <sheetName val="Nimitz_Base_Cover"/>
      <sheetName val="//ipc-portal_ies_inventec/DOCUM"/>
      <sheetName val="//ipc-portal_ies_inventec/Price"/>
      <sheetName val="__ipc-portal_ies_inventec_Price"/>
      <sheetName val="__ipc-portal_ies_inventec_DOCUM"/>
      <sheetName val="FAE_reports"/>
      <sheetName val="pcbo_工時"/>
      <sheetName val="Valid_Values"/>
      <sheetName val="KC_Naming3"/>
      <sheetName val="KC_Naming_update_list3"/>
      <sheetName val="KT1_Qual3"/>
      <sheetName val="Country_List1"/>
      <sheetName val="SCM_AV_data1"/>
      <sheetName val="Pebble_FAE_reports1"/>
      <sheetName val="KC_naming_xls1"/>
      <sheetName val="KC%20naming_xls1"/>
      <sheetName val="Naming_Rule_Ver_3_61"/>
      <sheetName val="Country_Kit_Rev_3_71"/>
      <sheetName val="AS2020_G1&amp;G2_PN1"/>
      <sheetName val="Changing_Histroy1"/>
      <sheetName val="AS2020_BOM_request_table1"/>
      <sheetName val="Optional_Item1"/>
      <sheetName val="Nimitz_Base_Cover1"/>
      <sheetName val="//ipc-portal_ies_inventec/DOCU1"/>
      <sheetName val="//ipc-portal_ies_inventec/Pric1"/>
      <sheetName val="__ipc-portal_ies_inventec_Pric1"/>
      <sheetName val="__ipc-portal_ies_inventec_DOCU1"/>
      <sheetName val="FAE_reports1"/>
      <sheetName val="pcbo_工時1"/>
      <sheetName val="Valid_Values1"/>
      <sheetName val="LIST"/>
      <sheetName val="KC%20naming"/>
      <sheetName val="[KC naming.xls][KC naming.xls]/"/>
      <sheetName val="[KC naming.xls]//ipc-portal.ies"/>
      <sheetName val="[KC naming.xls]//ipc-portal_ies"/>
      <sheetName val="[KC naming.xls][KC naming.xls]["/>
      <sheetName val="Blf2+LOM cost bom_080902"/>
      <sheetName val="Debug check list"/>
      <sheetName val="codes"/>
      <sheetName val="BB Table"/>
      <sheetName val="QuoteFormat"/>
      <sheetName val="Data lists"/>
      <sheetName val="Work"/>
      <sheetName val="Commodities"/>
      <sheetName val="Comm Matrix"/>
      <sheetName val="Base Units"/>
      <sheetName val="bal_sheet"/>
      <sheetName val="グラフへ"/>
      <sheetName val="貼付先"/>
      <sheetName val="CLM-MP"/>
      <sheetName val="部門名"/>
      <sheetName val="Detailed Quote"/>
      <sheetName val="Summary"/>
      <sheetName val="NRE"/>
      <sheetName val="[KC naming.xls]__ipc_portal_i_2"/>
      <sheetName val="[KC naming.xls]__ipc_portal_i_3"/>
      <sheetName val="[KC naming.xls]__ipc_portal_i_4"/>
      <sheetName val="[KC naming.xls]__ipc_portal_i_5"/>
      <sheetName val="[KC naming.xls]__ipc_portal_i_6"/>
      <sheetName val="[KC naming.xls]__ipc_portal_i_7"/>
      <sheetName val="[KC naming.xls]_KC_naming_xls_2"/>
      <sheetName val="[KC naming.xls]_KC_naming_xls_3"/>
      <sheetName val="[KC naming.xls]_KC_naming_xls_4"/>
      <sheetName val="UPC+EAN"/>
      <sheetName val="Antenna Window"/>
      <sheetName val="A58"/>
      <sheetName val="RAMReceive"/>
      <sheetName val="CORAM"/>
      <sheetName val="MGMT006"/>
      <sheetName val="Budget_Skippy"/>
      <sheetName val="Version Contr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 refreshError="1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date"/>
      <sheetName val="Others"/>
      <sheetName val="Z-Box"/>
      <sheetName val="Phase ou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zsdr82Tab"/>
      <sheetName val="KB-ELW8022&amp;23"/>
      <sheetName val="KB-ELW8024"/>
      <sheetName val="UPC&amp;EAN"/>
      <sheetName val="MonthMapping"/>
      <sheetName val="總表"/>
      <sheetName val="KB Daily Report of ELW80_1119"/>
    </sheetNames>
    <definedNames>
      <definedName name="VGA"/>
    </defined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料號面積"/>
      <sheetName val="Sample出貨"/>
      <sheetName val="Sample訂單"/>
      <sheetName val="全製程訂單資料"/>
      <sheetName val="日報表"/>
      <sheetName val="全製程出貨資料"/>
      <sheetName val="DELAY"/>
      <sheetName val="每月訂單出貨明細"/>
      <sheetName val="預下訂單"/>
      <sheetName val="每日訂單及出貨報告"/>
      <sheetName val="客戶別每月應出實出金額"/>
      <sheetName val="CANCE記錄"/>
      <sheetName val="接單達成率"/>
      <sheetName val="銷貨達成率"/>
      <sheetName val="經營會議總表"/>
      <sheetName val="Sheet1"/>
      <sheetName val="zsdr82Tab"/>
      <sheetName val="ISRDATA"/>
      <sheetName val="FCT August"/>
      <sheetName val="MonthMapping"/>
      <sheetName val="达丰ZL系列 "/>
      <sheetName val="6"/>
      <sheetName val="Data"/>
      <sheetName val="wsp 12-03"/>
      <sheetName val="FA-LISTING"/>
      <sheetName val="84IS"/>
      <sheetName val="Sheet2"/>
      <sheetName val="SBB Table"/>
      <sheetName val="總表"/>
      <sheetName val="FCT_August"/>
      <sheetName val="达丰ZL系列_"/>
      <sheetName val="wsp_12-03"/>
      <sheetName val="Information"/>
      <sheetName val="ID2"/>
      <sheetName val="表21 净利润调节表"/>
      <sheetName val="COGS"/>
      <sheetName val="TITAL2007"/>
      <sheetName val="BS3"/>
      <sheetName val="8月ABL出貨明細"/>
      <sheetName val="input wk"/>
      <sheetName val="LCD&amp;CCD&amp;FPC supply schedule"/>
      <sheetName val="Mat Summary"/>
      <sheetName val="人力計劃表"/>
      <sheetName val="Team List"/>
      <sheetName val="RDTX"/>
      <sheetName val="ZMM64"/>
      <sheetName val="Valuation"/>
      <sheetName val="MLF"/>
      <sheetName val="hk"/>
      <sheetName val="CLSA Layout"/>
      <sheetName val="Product Map"/>
      <sheetName val="TV"/>
      <sheetName val="表頭"/>
      <sheetName val="LIST"/>
      <sheetName val="Perishable Tooling"/>
      <sheetName val="Q72 Channel Analysis Q4"/>
      <sheetName val="Q73 Channel Analysis Q4"/>
      <sheetName val="詳細資料"/>
      <sheetName val="非機種"/>
      <sheetName val="Valores"/>
      <sheetName val="Macro1"/>
      <sheetName val="MPS Q1 FY05"/>
      <sheetName val="MPS Q4 FY04"/>
      <sheetName val="全製程"/>
      <sheetName val="mix"/>
      <sheetName val="zsdr82 Tab."/>
      <sheetName val="XL4Poppy"/>
      <sheetName val="3"/>
      <sheetName val="E-DPPM"/>
      <sheetName val="UPC&amp;EAN"/>
      <sheetName val="FA Definitions"/>
      <sheetName val="Options"/>
      <sheetName val="2019-01"/>
      <sheetName val="2018-11"/>
      <sheetName val="Configuration"/>
      <sheetName val="2018-04"/>
      <sheetName val="2019-02"/>
      <sheetName val="資本支出預算彙總"/>
      <sheetName val="foodbase"/>
      <sheetName val="Version Control"/>
      <sheetName val="ALLOCATION"/>
      <sheetName val="Data lists"/>
      <sheetName val="Weekly Cases Opened"/>
      <sheetName val="Lookup Tables"/>
      <sheetName val="TIMEA"/>
      <sheetName val="SI1 BOM 0130"/>
      <sheetName val="Buckhorn_Costed BOM_0201'08"/>
      <sheetName val="CCD"/>
      <sheetName val="2003 Target"/>
      <sheetName val="2003 prod2"/>
      <sheetName val="期初B"/>
      <sheetName val="BSF"/>
      <sheetName val="Issues List"/>
      <sheetName val="PWA#1"/>
      <sheetName val="Plastic特性"/>
      <sheetName val="Plastic機檯費率"/>
      <sheetName val="Metal cost"/>
      <sheetName val="Overhead calculations"/>
      <sheetName val="Detailed WF"/>
      <sheetName val="FHC Components"/>
      <sheetName val="Askey MB44(MOW)"/>
      <sheetName val="ErrorCodes1024"/>
      <sheetName val="工單差异分攤"/>
      <sheetName val="9.28.04 Detail"/>
      <sheetName val="FCT_August1"/>
      <sheetName val="达丰ZL系列_1"/>
      <sheetName val="wsp_12-031"/>
      <sheetName val="SBB_Table"/>
      <sheetName val="Perishable_Tooling"/>
      <sheetName val="Q72_Channel_Analysis_Q4"/>
      <sheetName val="Q73_Channel_Analysis_Q4"/>
      <sheetName val="Mat_Summary"/>
      <sheetName val="表21_净利润调节表"/>
      <sheetName val="MPS_Q1_FY05"/>
      <sheetName val="MPS_Q4_FY04"/>
      <sheetName val="Data_lists"/>
      <sheetName val="Weekly_Cases_Opened"/>
      <sheetName val="Version_Control"/>
      <sheetName val="Lookup_Tables"/>
      <sheetName val="Team_List"/>
      <sheetName val="Overhead_calculations"/>
      <sheetName val="掌控表"/>
      <sheetName val="ADSL"/>
      <sheetName val="PCSM"/>
      <sheetName val="MTL1"/>
      <sheetName val="CUM CONSTRAINED AVAIL"/>
      <sheetName val="Demand&amp;Supply"/>
      <sheetName val="Title Page"/>
      <sheetName val="Selections"/>
      <sheetName val="掌控"/>
      <sheetName val="包材"/>
      <sheetName val="Metal機檯費率"/>
      <sheetName val="噴漆 and 粉烤尺寸費率"/>
      <sheetName val="印刷data base"/>
      <sheetName val="IA"/>
      <sheetName val="Requesters"/>
      <sheetName val="Summary"/>
      <sheetName val="Cable"/>
      <sheetName val="TTI reply"/>
      <sheetName val="G8WZA5 PKG部品表"/>
      <sheetName val="Q7XA FM data"/>
      <sheetName val="Q72A Channel Analysis Q1"/>
      <sheetName val="Q73A Best Channel Analysis Q1"/>
      <sheetName val="Q73A Better Channel Analysis Q1"/>
      <sheetName val="MetricsData"/>
      <sheetName val="Proto 1"/>
      <sheetName val="Total Init Summary"/>
      <sheetName val="small card 基本資料0216_04"/>
      <sheetName val="單位住宿率"/>
      <sheetName val="Matl1"/>
      <sheetName val="候補リスト"/>
      <sheetName val=" ST Build Request Form"/>
      <sheetName val="A-Note Bug list"/>
      <sheetName val="Cover"/>
      <sheetName val="All Parts"/>
      <sheetName val="PartsList"/>
      <sheetName val="ｺｰﾄﾞ表"/>
      <sheetName val="名稱"/>
      <sheetName val="Master Lists"/>
      <sheetName val="品質改善單"/>
      <sheetName val="FO"/>
      <sheetName val="Reference"/>
      <sheetName val="Tool List"/>
      <sheetName val="TORNADO"/>
      <sheetName val="BANFF"/>
      <sheetName val="Q#3839"/>
      <sheetName val="Nimitz Base Cover"/>
      <sheetName val="標準工時資料庫"/>
      <sheetName val="8605ml91"/>
      <sheetName val="FRU demand"/>
      <sheetName val="Compal open order "/>
      <sheetName val="R CTO demand"/>
      <sheetName val="Compal stock 4.6"/>
      <sheetName val="Backlog"/>
      <sheetName val="delta"/>
      <sheetName val="CD_kit"/>
      <sheetName val="UPC+EAN"/>
      <sheetName val="wsp 01-07"/>
      <sheetName val="dell_schedule"/>
      <sheetName val="Forwarder_Plan"/>
      <sheetName val="分类数据"/>
      <sheetName val="集計ﾘｽﾄ"/>
      <sheetName val="每月排名"/>
      <sheetName val="72HX"/>
      <sheetName val="75EX"/>
      <sheetName val="72HY"/>
      <sheetName val="75EY"/>
      <sheetName val="TOOL"/>
      <sheetName val="Baseline &amp; Summary"/>
      <sheetName val="Detailed Quote"/>
      <sheetName val="2017-5"/>
      <sheetName val="bal_sheet"/>
      <sheetName val="pal"/>
      <sheetName val="Cfg"/>
      <sheetName val="Sheet0"/>
      <sheetName val="集計２"/>
      <sheetName val="数据源"/>
      <sheetName val="1"/>
      <sheetName val="Details_2011_03"/>
      <sheetName val="OP資料編輯表"/>
      <sheetName val="管制上下限浮動"/>
      <sheetName val="FCT_August2"/>
      <sheetName val="达丰ZL系列_2"/>
      <sheetName val="wsp_12-032"/>
      <sheetName val="SBB_Table1"/>
      <sheetName val="9_28_04_Detail"/>
      <sheetName val="FCT_August3"/>
      <sheetName val="达丰ZL系列_3"/>
      <sheetName val="wsp_12-033"/>
      <sheetName val="SBB_Table2"/>
      <sheetName val="Mat_Summary1"/>
      <sheetName val="Perishable_Tooling1"/>
      <sheetName val="Overhead_calculations1"/>
      <sheetName val="Q72_Channel_Analysis_Q41"/>
      <sheetName val="Q73_Channel_Analysis_Q41"/>
      <sheetName val="表21_净利润调节表1"/>
      <sheetName val="MPS_Q1_FY051"/>
      <sheetName val="MPS_Q4_FY041"/>
      <sheetName val="9_28_04_Detail1"/>
      <sheetName val="Balance"/>
      <sheetName val="Summary definition"/>
      <sheetName val="Calendar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Pan, Sylvia" id="{37D2EC6E-CD66-4538-9253-F718120D112A}" userId="Sylvia.Pan@acer.com" providerId="PeoplePicker"/>
  <person displayName="Gurden, Clark" id="{CAF021ED-62DE-414A-8AB0-9A94E9FA9BD1}" userId="Clark.Gurden@acer.com" providerId="PeoplePicker"/>
  <person displayName="Lin, Daphne CT" id="{D0E72D1E-5D45-4F33-80C9-2A9F38A87C30}" userId="Daphne.CT.Lin@acer.com" providerId="PeoplePicker"/>
  <person displayName="Li, Burnett" id="{FB96E5A8-E4A9-4A53-BB0C-067AE97476C1}" userId="S::Burnett.Li@acer.com::2c9dd7b4-2fad-49cb-a05a-e902ba835a96" providerId="AD"/>
  <person displayName="Li, Burnett" id="{7A62FBF2-CC8D-4F07-9FC3-BF69EE4E6CAA}" userId="S::burnett.li@acer.com::2c9dd7b4-2fad-49cb-a05a-e902ba835a96" providerId="AD"/>
  <person displayName="Pan, Sylvia" id="{ADBF9C82-DEB1-4039-82DB-080E82CDD886}" userId="S::sylvia.pan@acer.com::2770e2ad-dc74-4703-8b75-d617525c7537" providerId="AD"/>
  <person displayName="Shen, Ashley" id="{0FCE1189-70C9-4226-AAB8-B12D9EE69256}" userId="S::Ashley.Shen@acer.com::3a405b6b-51b7-4988-aa26-59ed794c6710" providerId="AD"/>
  <person displayName="Gurden, Clark" id="{A16F7A02-4885-49DE-8DD0-FCB1989D9D88}" userId="S::clark.gurden@acer.com::dc068ebc-b184-4a9d-b15a-63cbf354d48d" providerId="AD"/>
  <person displayName="Lin, Daphne CT" id="{CF92C041-1020-4A96-AA4F-0C7A20F7CDF6}" userId="S::daphne.ct.lin@acer.com::1febfc1f-bd52-4fcd-94f6-b25ff63d9199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68" dT="2026-02-26T03:27:51.98" personId="{ADBF9C82-DEB1-4039-82DB-080E82CDD886}" id="{0DD20B78-0CA7-4292-8DBC-BE0C4CB87830}">
    <text>FCS TBC. 
NVIDIA embargo: Jan 2027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29" dT="2024-08-20T02:29:33.64" personId="{FB96E5A8-E4A9-4A53-BB0C-067AE97476C1}" id="{3426A0E1-A8A6-4A4E-B679-6601200795F8}">
    <text>1 = Slot? 2 = Slots?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14" dT="2026-03-23T08:52:49.08" personId="{FB96E5A8-E4A9-4A53-BB0C-067AE97476C1}" id="{DAA78D57-DF0C-4890-928F-0A747E8024D5}">
    <text xml:space="preserve">@Gurden, Clark  What is "int8"? We need total AI TOPS numbers. If you cannot get it from PM, ask Intel Monica. </text>
    <mentions>
      <mention mentionpersonId="{CAF021ED-62DE-414A-8AB0-9A94E9FA9BD1}" mentionId="{922D32DB-5DE2-4E0B-AED4-49BD16F3B206}" startIndex="0" length="14"/>
    </mentions>
  </threadedComment>
  <threadedComment ref="D15" dT="2026-03-23T08:54:29.70" personId="{FB96E5A8-E4A9-4A53-BB0C-067AE97476C1}" id="{BC87C0CD-CD90-4475-B77B-8CF26AC17ED1}">
    <text>@Gurden, Clark We need more detail on this, like Arc 12Xe?</text>
    <mentions>
      <mention mentionpersonId="{CAF021ED-62DE-414A-8AB0-9A94E9FA9BD1}" mentionId="{4B2FC723-0F5D-45BB-8630-3B6C1AF29104}" startIndex="0" length="14"/>
    </mentions>
  </threadedComment>
  <threadedComment ref="D16" dT="2026-03-23T10:14:05.21" personId="{FB96E5A8-E4A9-4A53-BB0C-067AE97476C1}" id="{71A0DFA6-4767-4606-819B-E54CC478C5CA}">
    <text>@Gurden, Clark What’s the screen ratio? 16:9 or 16:10?
100Hz, not 120Hz?</text>
    <mentions>
      <mention mentionpersonId="{CAF021ED-62DE-414A-8AB0-9A94E9FA9BD1}" mentionId="{90B30CDB-7D99-48A5-BD0B-8396047F58F3}" startIndex="0" length="14"/>
    </mentions>
  </threadedComment>
  <threadedComment ref="D16" dT="2026-03-23T10:15:58.86" personId="{A16F7A02-4885-49DE-8DD0-FCB1989D9D88}" id="{0B43B85D-5D9D-4144-9931-C91FE2B3117E}" parentId="{71A0DFA6-4767-4606-819B-E54CC478C5CA}">
    <text>16:9</text>
  </threadedComment>
  <threadedComment ref="D16" dT="2026-03-24T05:16:47.12" personId="{FB96E5A8-E4A9-4A53-BB0C-067AE97476C1}" id="{D7CE90B7-40A8-4E06-B114-62F605292F5A}" parentId="{71A0DFA6-4767-4606-819B-E54CC478C5CA}">
    <text>Missing Adobe: ??%</text>
  </threadedComment>
  <threadedComment ref="D16" dT="2026-03-24T06:01:57.02" personId="{A16F7A02-4885-49DE-8DD0-FCB1989D9D88}" id="{BE5543E2-1F66-4125-BDC9-EA46B1443293}" parentId="{71A0DFA6-4767-4606-819B-E54CC478C5CA}">
    <text>adobe rgb and sRGB are two different types. if adobe was excluded we're like using the standard</text>
  </threadedComment>
  <threadedComment ref="D16" dT="2026-03-24T06:54:50.46" personId="{7A62FBF2-CC8D-4F07-9FC3-BF69EE4E6CAA}" id="{3535A2C0-8553-4773-87C1-CDDE1943BC6C}" parentId="{71A0DFA6-4767-4606-819B-E54CC478C5CA}">
    <text>Ken is going to provide Adobe %</text>
  </threadedComment>
  <threadedComment ref="C23" dT="2026-03-23T10:18:23.45" personId="{FB96E5A8-E4A9-4A53-BB0C-067AE97476C1}" id="{09E20AA5-5D02-451A-A52C-C3274A0996DE}">
    <text>@Gurden, Clark Needs more memory spec info. Should be MT/s, not MHz.
Same speed for both 16GB and 32GB?</text>
    <mentions>
      <mention mentionpersonId="{CAF021ED-62DE-414A-8AB0-9A94E9FA9BD1}" mentionId="{FA4141C8-57F2-45FD-B3C2-2DA9A83C9B9F}" startIndex="0" length="14"/>
    </mentions>
  </threadedComment>
  <threadedComment ref="D23" dT="2026-03-23T10:18:23.45" personId="{FB96E5A8-E4A9-4A53-BB0C-067AE97476C1}" id="{4EA2FAC5-4B4A-4BA7-9B32-ED5D422D21F8}">
    <text>@Gurden, Clark Needs more memory spec info. Should be MT/s, not MHz.
Same speed for both 16GB and 32GB?</text>
    <mentions>
      <mention mentionpersonId="{CAF021ED-62DE-414A-8AB0-9A94E9FA9BD1}" mentionId="{77307094-12E2-432A-8CFE-104D53968318}" startIndex="0" length="14"/>
    </mentions>
  </threadedComment>
  <threadedComment ref="C33" dT="2026-03-23T10:27:04.45" personId="{FB96E5A8-E4A9-4A53-BB0C-067AE97476C1}" id="{B11FD840-7C75-447E-8526-63D3F8D472DF}">
    <text>@Gurden, Clark It's the card reader, not the card, right?
What's the MicroSD card reader spec?</text>
    <mentions>
      <mention mentionpersonId="{CAF021ED-62DE-414A-8AB0-9A94E9FA9BD1}" mentionId="{F956CE2D-92A5-47FF-A602-795382FD1618}" startIndex="0" length="14"/>
    </mentions>
  </threadedComment>
  <threadedComment ref="C38" dT="2026-03-23T10:30:24.69" personId="{FB96E5A8-E4A9-4A53-BB0C-067AE97476C1}" id="{CA36C5AE-0A0E-4D6B-8EDF-C55C3DA5972F}">
    <text xml:space="preserve">@Gurden, Clark Windows 11 Home, I assume. </text>
    <mentions>
      <mention mentionpersonId="{CAF021ED-62DE-414A-8AB0-9A94E9FA9BD1}" mentionId="{633F05F2-2345-4C18-8533-5DAAE5EF7E3B}" startIndex="0" length="14"/>
    </mentions>
  </threadedComment>
  <threadedComment ref="C40" dT="2026-03-23T10:31:49.44" personId="{FB96E5A8-E4A9-4A53-BB0C-067AE97476C1}" id="{5D1E4913-FE57-4C9D-8DEA-E806E16F44DE}">
    <text>@Gurden, Clark  Need to clarify which XGP package? 2 months XGP Premium or XGP Ultimate?</text>
    <mentions>
      <mention mentionpersonId="{CAF021ED-62DE-414A-8AB0-9A94E9FA9BD1}" mentionId="{1001F312-802E-4CBF-8477-EE6C3D6828AA}" startIndex="0" length="14"/>
    </mentions>
  </threadedComment>
  <threadedComment ref="D40" dT="2026-03-23T10:31:49.44" personId="{FB96E5A8-E4A9-4A53-BB0C-067AE97476C1}" id="{0193911B-F8C1-4C6D-860B-31D4FF3B92BF}">
    <text>@Gurden, Clark  Need to clarify which XGP package? 2 months XGP Premium or XGP Ultimate?</text>
    <mentions>
      <mention mentionpersonId="{CAF021ED-62DE-414A-8AB0-9A94E9FA9BD1}" mentionId="{4E8C124F-6C5B-43F0-91FF-52121AF7F254}" startIndex="0" length="14"/>
    </mentions>
  </threadedComment>
  <threadedComment ref="C42" dT="2026-03-23T10:32:19.66" personId="{FB96E5A8-E4A9-4A53-BB0C-067AE97476C1}" id="{2D440BCB-9428-4DCF-9B89-5B9F055F0A06}">
    <text>@Lin, Daphne CT  PCR material used? %?</text>
    <mentions>
      <mention mentionpersonId="{D0E72D1E-5D45-4F33-80C9-2A9F38A87C30}" mentionId="{060D16D3-6E1D-44D2-BC7A-8EBE0594C4E9}" startIndex="0" length="15"/>
    </mentions>
  </threadedComment>
  <threadedComment ref="C42" dT="2026-03-24T02:59:26.48" personId="{CF92C041-1020-4A96-AA4F-0C7A20F7CDF6}" id="{9A585264-87D2-4D92-8386-66B0453E500B}" parentId="{2D440BCB-9428-4DCF-9B89-5B9F055F0A06}">
    <text xml:space="preserve">I belive this is a ask to @Gurden, Clark </text>
    <mentions>
      <mention mentionpersonId="{CAF021ED-62DE-414A-8AB0-9A94E9FA9BD1}" mentionId="{BBB7C137-4F77-4E6E-9E2F-E2B8984FCEF8}" startIndex="26" length="14"/>
    </mentions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15" dT="2024-03-27T03:51:33.23" personId="{0FCE1189-70C9-4226-AAB8-B12D9EE69256}" id="{1F6FBD5A-C32F-49C9-B38C-F2C0332B7A2F}">
    <text>Pl1 MAX</text>
  </threadedComment>
  <threadedComment ref="B21" dT="2024-05-07T09:56:19.89" personId="{0FCE1189-70C9-4226-AAB8-B12D9EE69256}" id="{31D8C1AC-EC33-4D48-9809-19B7FDFFF311}">
    <text>MGP=TGP+DB(Dynamic Boost)</text>
  </threadedComment>
  <threadedComment ref="B22" dT="2024-07-02T06:11:53.62" personId="{0FCE1189-70C9-4226-AAB8-B12D9EE69256}" id="{960A1D1E-67C4-43AE-8313-8835B00EEAD5}">
    <text>TDP=X2</text>
  </threadedComment>
  <threadedComment ref="B23" dT="2024-06-24T03:08:31.16" personId="{0FCE1189-70C9-4226-AAB8-B12D9EE69256}" id="{C1E675D7-3822-4AFA-AD3F-1723E25F35BF}">
    <text>https://www.nvidia.com/en-us/geforce/laptops/compare/</text>
    <extLst>
      <x:ext xmlns:xltc2="http://schemas.microsoft.com/office/spreadsheetml/2020/threadedcomments2" uri="{F7C98A9C-CBB3-438F-8F68-D28B6AF4A901}">
        <xltc2:checksum>3426674196</xltc2:checksum>
        <xltc2:hyperlink startIndex="0" length="53" url="https://www.nvidia.com/en-us/geforce/laptops/compare/"/>
      </x:ext>
    </extLst>
  </threadedComment>
  <threadedComment ref="B29" dT="2024-01-10T07:12:35.47" personId="{0FCE1189-70C9-4226-AAB8-B12D9EE69256}" id="{C60C4AB0-5383-4167-BE66-FDE0307E5DB6}">
    <text xml:space="preserve">Level:
G-SYNC Ultimate
G-SYNC
G-SYNC Compatible 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Q13" dT="2025-04-15T01:31:03.48" personId="{FB96E5A8-E4A9-4A53-BB0C-067AE97476C1}" id="{F0C93C96-17C3-43D7-B01E-73EDC8180ACF}">
    <text>@Pan, Sylvia  Do we have the CPU model info?</text>
    <mentions>
      <mention mentionpersonId="{37D2EC6E-CD66-4538-9253-F718120D112A}" mentionId="{47C67172-0705-44DF-9D59-0388D53FE35B}" startIndex="0" length="12"/>
    </mentions>
  </threadedComment>
  <threadedComment ref="Q13" dT="2025-04-15T01:56:21.42" personId="{ADBF9C82-DEB1-4039-82DB-080E82CDD886}" id="{506035B7-4B9B-4107-9DAA-6A24F3D78895}" parentId="{F0C93C96-17C3-43D7-B01E-73EDC8180ACF}">
    <text>Have asked PM, but not got any reply yet.</text>
  </threadedComment>
  <threadedComment ref="U13" dT="2025-04-15T01:31:03.48" personId="{FB96E5A8-E4A9-4A53-BB0C-067AE97476C1}" id="{56640389-96E5-4197-9EE9-B0AE1DC1A469}">
    <text>@Pan, Sylvia  Do we have the CPU model info?</text>
    <mentions>
      <mention mentionpersonId="{37D2EC6E-CD66-4538-9253-F718120D112A}" mentionId="{99FCAFE6-363B-409F-A86B-C704C97B43C1}" startIndex="0" length="12"/>
    </mentions>
  </threadedComment>
  <threadedComment ref="U13" dT="2025-04-15T01:56:21.42" personId="{ADBF9C82-DEB1-4039-82DB-080E82CDD886}" id="{07ACC4B4-9B91-403E-8DB6-B52E380E6B55}" parentId="{56640389-96E5-4197-9EE9-B0AE1DC1A469}">
    <text>Have asked PM, but not got any reply yet.</text>
  </threadedComment>
  <threadedComment ref="C23" dT="2024-08-20T02:28:15.95" personId="{FB96E5A8-E4A9-4A53-BB0C-067AE97476C1}" id="{68A58418-69CA-4892-A595-36E18C2AC30E}">
    <text>@Pan, Sylvia  Please double check ARGB with PM.</text>
    <mentions>
      <mention mentionpersonId="{37D2EC6E-CD66-4538-9253-F718120D112A}" mentionId="{2B2F4314-E3E3-475D-9DDE-3CBC7DF9AB34}" startIndex="0" length="12"/>
    </mentions>
  </threadedComment>
  <threadedComment ref="C25" dT="2024-08-20T02:28:35.35" personId="{FB96E5A8-E4A9-4A53-BB0C-067AE97476C1}" id="{0F97FB14-C635-4D01-8257-09A86FB12C09}">
    <text xml:space="preserve">@Pan, Sylvia  Please double check ARGB with PM. </text>
    <mentions>
      <mention mentionpersonId="{37D2EC6E-CD66-4538-9253-F718120D112A}" mentionId="{2CDC31E4-A3E4-4CA4-9C59-D2B33242F528}" startIndex="0" length="12"/>
    </mentions>
  </threadedComment>
  <threadedComment ref="C29" dT="2024-08-20T02:29:33.64" personId="{FB96E5A8-E4A9-4A53-BB0C-067AE97476C1}" id="{19DB8262-A469-4818-9A16-8294B122EF38}">
    <text>1 = Slot? 2 = Slots?</text>
  </threadedComment>
  <threadedComment ref="F29" dT="2024-08-20T02:29:33.64" personId="{FB96E5A8-E4A9-4A53-BB0C-067AE97476C1}" id="{97F0A3D1-4C3C-4563-8CE6-76F7A0FE0ED2}">
    <text>1 = Slot? 2 = Slots?</text>
  </threadedComment>
  <threadedComment ref="H29" dT="2024-08-20T02:29:33.64" personId="{FB96E5A8-E4A9-4A53-BB0C-067AE97476C1}" id="{CF1FB37F-5840-41D2-A806-0E711F9AD62A}">
    <text>1 = Slot? 2 = Slots?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B15" dT="2024-03-27T03:51:33.23" personId="{0FCE1189-70C9-4226-AAB8-B12D9EE69256}" id="{CCB6831B-839B-4A14-A4DF-6602B1BE279A}">
    <text>Pl1 MAX</text>
  </threadedComment>
  <threadedComment ref="B21" dT="2024-05-07T09:56:19.89" personId="{0FCE1189-70C9-4226-AAB8-B12D9EE69256}" id="{8F9FEF8E-D93B-4A25-BED1-DEA78D35F496}">
    <text>MGP=TGP+DB(Dynamic Boost)</text>
  </threadedComment>
  <threadedComment ref="B22" dT="2024-07-02T06:11:53.62" personId="{0FCE1189-70C9-4226-AAB8-B12D9EE69256}" id="{04C1923D-CDBD-4406-98EF-1869F1B1DE82}">
    <text>TDP=X2</text>
  </threadedComment>
  <threadedComment ref="B23" dT="2024-06-24T03:08:31.16" personId="{0FCE1189-70C9-4226-AAB8-B12D9EE69256}" id="{2E3D6007-49CB-44DD-80DD-47109DEF1117}">
    <text>https://www.nvidia.com/en-us/geforce/laptops/compare/</text>
    <extLst>
      <x:ext xmlns:xltc2="http://schemas.microsoft.com/office/spreadsheetml/2020/threadedcomments2" uri="{F7C98A9C-CBB3-438F-8F68-D28B6AF4A901}">
        <xltc2:checksum>3426674196</xltc2:checksum>
        <xltc2:hyperlink startIndex="0" length="53" url="https://www.nvidia.com/en-us/geforce/laptops/compare/"/>
      </x:ext>
    </extLst>
  </threadedComment>
  <threadedComment ref="B29" dT="2024-01-10T07:12:35.47" personId="{0FCE1189-70C9-4226-AAB8-B12D9EE69256}" id="{6366D034-84F4-4746-9733-83AA0B290333}">
    <text xml:space="preserve">Level:
G-SYNC Ultimate
G-SYNC
G-SYNC Compatible 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B23" dT="2024-01-10T07:12:35.47" personId="{0FCE1189-70C9-4226-AAB8-B12D9EE69256}" id="{6EC12E9C-B39B-499F-A886-3FD003AE02D2}">
    <text xml:space="preserve">Level:
G-SYNC Ultimate
G-SYNC
G-SYNC Compatible 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BE30F43-50E6-4409-9807-D97198C1361B}">
  <we:reference id="wa200005271" version="2.5.5.0" store="en-US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Relationship Id="rId5" Type="http://schemas.microsoft.com/office/2019/04/relationships/documenttask" Target="../documenttasks/documenttask2.xml"/><Relationship Id="rId4" Type="http://schemas.microsoft.com/office/2017/10/relationships/threadedComment" Target="../threadedComments/threadedComment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1677F-BB58-48D4-8E23-224FB53F3CB7}">
  <dimension ref="B1:N25"/>
  <sheetViews>
    <sheetView zoomScale="115" zoomScaleNormal="115" workbookViewId="0">
      <selection activeCell="E10" sqref="E10"/>
    </sheetView>
  </sheetViews>
  <sheetFormatPr defaultColWidth="9" defaultRowHeight="13.5"/>
  <cols>
    <col min="1" max="1" width="3.5" style="260" customWidth="1"/>
    <col min="2" max="2" width="21.83203125" style="260" customWidth="1"/>
    <col min="3" max="3" width="7.58203125" style="261" customWidth="1"/>
    <col min="4" max="4" width="8.08203125" style="261" hidden="1" customWidth="1"/>
    <col min="5" max="5" width="22.75" style="261" customWidth="1"/>
    <col min="6" max="6" width="35.08203125" style="261" customWidth="1"/>
    <col min="7" max="7" width="30.75" style="261" customWidth="1"/>
    <col min="8" max="8" width="17.33203125" style="261" customWidth="1"/>
    <col min="9" max="9" width="13.58203125" style="261" customWidth="1"/>
    <col min="10" max="10" width="32.33203125" style="261" customWidth="1"/>
    <col min="11" max="11" width="20.75" style="261" customWidth="1"/>
    <col min="12" max="12" width="18.25" style="261" customWidth="1"/>
    <col min="13" max="13" width="24" style="261" customWidth="1"/>
    <col min="14" max="14" width="34.75" style="261" customWidth="1"/>
    <col min="15" max="16384" width="9" style="260"/>
  </cols>
  <sheetData>
    <row r="1" spans="2:14" ht="14.25" customHeight="1"/>
    <row r="2" spans="2:14" ht="24" customHeight="1">
      <c r="B2" s="262"/>
      <c r="C2" s="262"/>
      <c r="D2" s="262"/>
      <c r="E2" s="263"/>
      <c r="F2" s="263"/>
      <c r="G2" s="263"/>
      <c r="H2" s="263"/>
      <c r="I2" s="263"/>
      <c r="J2" s="263"/>
      <c r="K2" s="262"/>
      <c r="L2" s="262"/>
      <c r="M2" s="262"/>
      <c r="N2" s="262"/>
    </row>
    <row r="3" spans="2:14" s="259" customFormat="1" ht="24" customHeight="1" thickBot="1">
      <c r="B3" s="290" t="s">
        <v>0</v>
      </c>
      <c r="C3" s="290" t="s">
        <v>1</v>
      </c>
      <c r="D3" s="290" t="s">
        <v>2</v>
      </c>
      <c r="E3" s="290" t="s">
        <v>3</v>
      </c>
      <c r="F3" s="290" t="s">
        <v>4</v>
      </c>
      <c r="G3" s="290" t="s">
        <v>5</v>
      </c>
      <c r="H3" s="290" t="s">
        <v>6</v>
      </c>
      <c r="I3" s="290" t="s">
        <v>7</v>
      </c>
      <c r="J3" s="290" t="s">
        <v>8</v>
      </c>
      <c r="K3" s="290" t="s">
        <v>9</v>
      </c>
      <c r="L3" s="290" t="s">
        <v>10</v>
      </c>
      <c r="M3" s="290" t="s">
        <v>11</v>
      </c>
      <c r="N3" s="290" t="s">
        <v>12</v>
      </c>
    </row>
    <row r="4" spans="2:14" s="265" customFormat="1" ht="24" customHeight="1">
      <c r="B4" s="291" t="s">
        <v>13</v>
      </c>
      <c r="C4" s="292">
        <v>18</v>
      </c>
      <c r="D4" s="293" t="s">
        <v>14</v>
      </c>
      <c r="E4" s="294" t="s">
        <v>15</v>
      </c>
      <c r="F4" s="294" t="s">
        <v>16</v>
      </c>
      <c r="G4" s="430" t="s">
        <v>17</v>
      </c>
      <c r="H4" s="291" t="s">
        <v>18</v>
      </c>
      <c r="I4" s="291" t="s">
        <v>19</v>
      </c>
      <c r="J4" s="291" t="s">
        <v>20</v>
      </c>
      <c r="K4" s="295" t="s">
        <v>21</v>
      </c>
      <c r="L4" s="296">
        <f>'LAPTOP 2026'!C68</f>
        <v>0</v>
      </c>
      <c r="M4" s="297" t="s">
        <v>22</v>
      </c>
      <c r="N4" s="264" t="s">
        <v>23</v>
      </c>
    </row>
    <row r="5" spans="2:14" s="265" customFormat="1" ht="24" customHeight="1">
      <c r="B5" s="456" t="s">
        <v>24</v>
      </c>
      <c r="C5" s="299">
        <v>18</v>
      </c>
      <c r="D5" s="299"/>
      <c r="E5" s="300" t="s">
        <v>25</v>
      </c>
      <c r="F5" s="300" t="s">
        <v>16</v>
      </c>
      <c r="G5" s="431" t="s">
        <v>26</v>
      </c>
      <c r="H5" s="301" t="s">
        <v>27</v>
      </c>
      <c r="I5" s="301"/>
      <c r="J5" s="301" t="s">
        <v>28</v>
      </c>
      <c r="K5" s="302" t="s">
        <v>29</v>
      </c>
      <c r="L5" s="303">
        <f>'LAPTOP 2026'!H68</f>
        <v>46120</v>
      </c>
      <c r="M5" s="304" t="s">
        <v>30</v>
      </c>
      <c r="N5" s="266" t="s">
        <v>31</v>
      </c>
    </row>
    <row r="6" spans="2:14" s="265" customFormat="1" ht="24" customHeight="1">
      <c r="B6" s="458"/>
      <c r="C6" s="461">
        <v>16</v>
      </c>
      <c r="D6" s="305"/>
      <c r="E6" s="306" t="s">
        <v>32</v>
      </c>
      <c r="F6" s="306" t="s">
        <v>16</v>
      </c>
      <c r="G6" s="432" t="s">
        <v>26</v>
      </c>
      <c r="H6" s="307" t="s">
        <v>33</v>
      </c>
      <c r="I6" s="307" t="s">
        <v>34</v>
      </c>
      <c r="J6" s="307" t="s">
        <v>35</v>
      </c>
      <c r="K6" s="302" t="s">
        <v>36</v>
      </c>
      <c r="L6" s="308">
        <f>'LAPTOP 2026'!F68</f>
        <v>46120</v>
      </c>
      <c r="M6" s="309" t="s">
        <v>30</v>
      </c>
      <c r="N6" s="310" t="s">
        <v>37</v>
      </c>
    </row>
    <row r="7" spans="2:14" s="265" customFormat="1" ht="24" customHeight="1">
      <c r="B7" s="457"/>
      <c r="C7" s="460"/>
      <c r="D7" s="311"/>
      <c r="E7" s="312" t="s">
        <v>38</v>
      </c>
      <c r="F7" s="312" t="s">
        <v>39</v>
      </c>
      <c r="G7" s="433" t="s">
        <v>40</v>
      </c>
      <c r="H7" s="312" t="s">
        <v>41</v>
      </c>
      <c r="I7" s="312"/>
      <c r="J7" s="312" t="s">
        <v>42</v>
      </c>
      <c r="K7" s="313" t="s">
        <v>43</v>
      </c>
      <c r="L7" s="314">
        <f>'LAPTOP 2026'!G68</f>
        <v>46083</v>
      </c>
      <c r="M7" s="315" t="s">
        <v>44</v>
      </c>
      <c r="N7" s="311" t="s">
        <v>45</v>
      </c>
    </row>
    <row r="8" spans="2:14" s="265" customFormat="1" ht="24" customHeight="1">
      <c r="B8" s="298" t="s">
        <v>46</v>
      </c>
      <c r="C8" s="459">
        <v>16</v>
      </c>
      <c r="D8" s="316" t="s">
        <v>14</v>
      </c>
      <c r="E8" s="317" t="s">
        <v>47</v>
      </c>
      <c r="F8" s="317" t="s">
        <v>48</v>
      </c>
      <c r="G8" s="434" t="s">
        <v>40</v>
      </c>
      <c r="H8" s="298" t="s">
        <v>49</v>
      </c>
      <c r="I8" s="298" t="s">
        <v>34</v>
      </c>
      <c r="J8" s="298" t="s">
        <v>50</v>
      </c>
      <c r="K8" s="318" t="s">
        <v>51</v>
      </c>
      <c r="L8" s="319">
        <f>'LAPTOP 2026'!D68</f>
        <v>46059</v>
      </c>
      <c r="M8" s="266" t="s">
        <v>52</v>
      </c>
      <c r="N8" s="320" t="s">
        <v>53</v>
      </c>
    </row>
    <row r="9" spans="2:14" s="265" customFormat="1" ht="24" customHeight="1">
      <c r="B9" s="321" t="s">
        <v>54</v>
      </c>
      <c r="C9" s="460"/>
      <c r="D9" s="322"/>
      <c r="E9" s="312" t="s">
        <v>55</v>
      </c>
      <c r="F9" s="312" t="s">
        <v>16</v>
      </c>
      <c r="G9" s="433" t="s">
        <v>26</v>
      </c>
      <c r="H9" s="321" t="s">
        <v>56</v>
      </c>
      <c r="I9" s="321" t="s">
        <v>34</v>
      </c>
      <c r="J9" s="321" t="s">
        <v>57</v>
      </c>
      <c r="K9" s="313" t="s">
        <v>58</v>
      </c>
      <c r="L9" s="314">
        <f>'LAPTOP 2026'!E68</f>
        <v>46112</v>
      </c>
      <c r="M9" s="323" t="s">
        <v>30</v>
      </c>
      <c r="N9" s="315" t="s">
        <v>59</v>
      </c>
    </row>
    <row r="10" spans="2:14" s="265" customFormat="1" ht="24" customHeight="1" thickBot="1">
      <c r="B10" s="456" t="s">
        <v>60</v>
      </c>
      <c r="C10" s="462">
        <v>16</v>
      </c>
      <c r="D10" s="324"/>
      <c r="E10" s="301" t="s">
        <v>61</v>
      </c>
      <c r="F10" s="301" t="s">
        <v>62</v>
      </c>
      <c r="G10" s="431" t="s">
        <v>26</v>
      </c>
      <c r="H10" s="301" t="s">
        <v>63</v>
      </c>
      <c r="I10" s="301"/>
      <c r="J10" s="301" t="s">
        <v>64</v>
      </c>
      <c r="K10" s="325" t="s">
        <v>65</v>
      </c>
      <c r="L10" s="303">
        <f>'LAPTOP 2026'!J68</f>
        <v>46178</v>
      </c>
      <c r="M10" s="326" t="s">
        <v>22</v>
      </c>
      <c r="N10" s="266" t="s">
        <v>66</v>
      </c>
    </row>
    <row r="11" spans="2:14" s="287" customFormat="1" ht="24" hidden="1" customHeight="1">
      <c r="B11" s="457"/>
      <c r="C11" s="463"/>
      <c r="D11" s="327"/>
      <c r="E11" s="328" t="s">
        <v>67</v>
      </c>
      <c r="F11" s="328" t="s">
        <v>68</v>
      </c>
      <c r="G11" s="435" t="s">
        <v>69</v>
      </c>
      <c r="H11" s="328" t="s">
        <v>63</v>
      </c>
      <c r="I11" s="328"/>
      <c r="J11" s="328" t="s">
        <v>70</v>
      </c>
      <c r="K11" s="329" t="s">
        <v>71</v>
      </c>
      <c r="L11" s="330" t="str">
        <f>'LAPTOP 2026'!I68</f>
        <v>Project Canceled</v>
      </c>
      <c r="M11" s="331"/>
      <c r="N11" s="331">
        <v>3</v>
      </c>
    </row>
    <row r="12" spans="2:14" s="265" customFormat="1" ht="17.25" customHeight="1" thickBot="1">
      <c r="B12" s="298" t="s">
        <v>72</v>
      </c>
      <c r="C12" s="320">
        <v>16</v>
      </c>
      <c r="D12" s="332" t="s">
        <v>14</v>
      </c>
      <c r="E12" s="291" t="s">
        <v>73</v>
      </c>
      <c r="F12" s="291" t="s">
        <v>74</v>
      </c>
      <c r="G12" s="430" t="s">
        <v>75</v>
      </c>
      <c r="H12" s="291" t="s">
        <v>76</v>
      </c>
      <c r="I12" s="291"/>
      <c r="J12" s="291" t="s">
        <v>77</v>
      </c>
      <c r="K12" s="333" t="s">
        <v>78</v>
      </c>
      <c r="L12" s="296" t="str">
        <f>'LAPTOP 2026'!L68</f>
        <v>11/11/2026 (TBC)</v>
      </c>
      <c r="M12" s="264" t="s">
        <v>79</v>
      </c>
      <c r="N12" s="264" t="s">
        <v>80</v>
      </c>
    </row>
    <row r="13" spans="2:14" s="265" customFormat="1" ht="24" customHeight="1">
      <c r="B13" s="456" t="s">
        <v>81</v>
      </c>
      <c r="C13" s="462">
        <v>16</v>
      </c>
      <c r="D13" s="334" t="s">
        <v>82</v>
      </c>
      <c r="E13" s="307" t="s">
        <v>83</v>
      </c>
      <c r="F13" s="306" t="s">
        <v>84</v>
      </c>
      <c r="G13" s="436" t="s">
        <v>40</v>
      </c>
      <c r="H13" s="307" t="s">
        <v>41</v>
      </c>
      <c r="I13" s="307"/>
      <c r="J13" s="307" t="s">
        <v>85</v>
      </c>
      <c r="K13" s="302" t="s">
        <v>86</v>
      </c>
      <c r="L13" s="308">
        <f>'LAPTOP 2026'!N68</f>
        <v>46121</v>
      </c>
      <c r="M13" s="310" t="s">
        <v>52</v>
      </c>
      <c r="N13" s="310" t="s">
        <v>87</v>
      </c>
    </row>
    <row r="14" spans="2:14" s="265" customFormat="1" ht="24" customHeight="1">
      <c r="B14" s="458"/>
      <c r="C14" s="464"/>
      <c r="D14" s="310"/>
      <c r="E14" s="307" t="s">
        <v>88</v>
      </c>
      <c r="F14" s="307" t="s">
        <v>68</v>
      </c>
      <c r="G14" s="436" t="s">
        <v>40</v>
      </c>
      <c r="H14" s="307" t="s">
        <v>89</v>
      </c>
      <c r="I14" s="307" t="s">
        <v>19</v>
      </c>
      <c r="J14" s="307" t="s">
        <v>85</v>
      </c>
      <c r="K14" s="335" t="s">
        <v>90</v>
      </c>
      <c r="L14" s="308">
        <f>'LAPTOP 2026'!O68</f>
        <v>46120</v>
      </c>
      <c r="M14" s="310" t="s">
        <v>52</v>
      </c>
      <c r="N14" s="310">
        <v>3</v>
      </c>
    </row>
    <row r="15" spans="2:14" s="265" customFormat="1" ht="24" customHeight="1">
      <c r="B15" s="458"/>
      <c r="C15" s="464"/>
      <c r="D15" s="310"/>
      <c r="E15" s="307" t="s">
        <v>91</v>
      </c>
      <c r="F15" s="307" t="s">
        <v>92</v>
      </c>
      <c r="G15" s="432" t="s">
        <v>93</v>
      </c>
      <c r="H15" s="307" t="s">
        <v>89</v>
      </c>
      <c r="I15" s="307"/>
      <c r="J15" s="307" t="s">
        <v>85</v>
      </c>
      <c r="K15" s="336" t="s">
        <v>94</v>
      </c>
      <c r="L15" s="308">
        <f>'LAPTOP 2026'!Q68</f>
        <v>46120</v>
      </c>
      <c r="M15" s="310" t="s">
        <v>95</v>
      </c>
      <c r="N15" s="310"/>
    </row>
    <row r="16" spans="2:14" s="265" customFormat="1" ht="24" customHeight="1">
      <c r="B16" s="458"/>
      <c r="C16" s="464"/>
      <c r="D16" s="310"/>
      <c r="E16" s="307" t="s">
        <v>96</v>
      </c>
      <c r="F16" s="307" t="s">
        <v>97</v>
      </c>
      <c r="G16" s="436" t="s">
        <v>98</v>
      </c>
      <c r="H16" s="307" t="s">
        <v>76</v>
      </c>
      <c r="I16" s="307"/>
      <c r="J16" s="307" t="s">
        <v>99</v>
      </c>
      <c r="K16" s="307" t="s">
        <v>100</v>
      </c>
      <c r="L16" s="308">
        <f>'LAPTOP 2026'!P68</f>
        <v>46108</v>
      </c>
      <c r="M16" s="310" t="s">
        <v>95</v>
      </c>
      <c r="N16" s="310" t="s">
        <v>80</v>
      </c>
    </row>
    <row r="17" spans="2:14" s="265" customFormat="1" ht="24" customHeight="1">
      <c r="B17" s="458"/>
      <c r="C17" s="463"/>
      <c r="D17" s="414"/>
      <c r="E17" s="307" t="s">
        <v>101</v>
      </c>
      <c r="F17" s="307" t="s">
        <v>102</v>
      </c>
      <c r="G17" s="436" t="s">
        <v>40</v>
      </c>
      <c r="H17" s="307" t="s">
        <v>18</v>
      </c>
      <c r="I17" s="307"/>
      <c r="J17" s="307" t="s">
        <v>99</v>
      </c>
      <c r="K17" s="307" t="s">
        <v>103</v>
      </c>
      <c r="L17" s="308" t="str">
        <f>'LAPTOP 2026'!T68</f>
        <v>5/E/2026</v>
      </c>
      <c r="M17" s="414" t="s">
        <v>95</v>
      </c>
      <c r="N17" s="414"/>
    </row>
    <row r="18" spans="2:14" s="265" customFormat="1" ht="24" customHeight="1">
      <c r="B18" s="458"/>
      <c r="C18" s="266">
        <v>17.3</v>
      </c>
      <c r="D18" s="266"/>
      <c r="E18" s="301" t="s">
        <v>104</v>
      </c>
      <c r="F18" s="300" t="s">
        <v>105</v>
      </c>
      <c r="G18" s="437" t="s">
        <v>98</v>
      </c>
      <c r="H18" s="301" t="s">
        <v>18</v>
      </c>
      <c r="I18" s="301"/>
      <c r="J18" s="337" t="s">
        <v>106</v>
      </c>
      <c r="K18" s="337" t="s">
        <v>107</v>
      </c>
      <c r="L18" s="338">
        <f>'LAPTOP 2026'!R68</f>
        <v>46148</v>
      </c>
      <c r="M18" s="266" t="s">
        <v>44</v>
      </c>
      <c r="N18" s="266" t="s">
        <v>108</v>
      </c>
    </row>
    <row r="19" spans="2:14" s="265" customFormat="1" ht="24" customHeight="1">
      <c r="B19" s="457"/>
      <c r="C19" s="339">
        <v>15.6</v>
      </c>
      <c r="D19" s="315"/>
      <c r="E19" s="321" t="s">
        <v>109</v>
      </c>
      <c r="F19" s="321" t="s">
        <v>110</v>
      </c>
      <c r="G19" s="438" t="s">
        <v>98</v>
      </c>
      <c r="H19" s="321" t="s">
        <v>89</v>
      </c>
      <c r="I19" s="321"/>
      <c r="J19" s="321" t="s">
        <v>111</v>
      </c>
      <c r="K19" s="340" t="s">
        <v>112</v>
      </c>
      <c r="L19" s="314">
        <f>'LAPTOP 2026'!S68</f>
        <v>46014</v>
      </c>
      <c r="M19" s="315" t="s">
        <v>44</v>
      </c>
      <c r="N19" s="315">
        <v>3</v>
      </c>
    </row>
    <row r="20" spans="2:14" s="265" customFormat="1" ht="24" customHeight="1">
      <c r="B20" s="291" t="s">
        <v>113</v>
      </c>
      <c r="C20" s="292">
        <v>16</v>
      </c>
      <c r="D20" s="293" t="s">
        <v>114</v>
      </c>
      <c r="E20" s="294" t="s">
        <v>115</v>
      </c>
      <c r="F20" s="294" t="s">
        <v>116</v>
      </c>
      <c r="G20" s="439" t="s">
        <v>40</v>
      </c>
      <c r="H20" s="291" t="s">
        <v>56</v>
      </c>
      <c r="I20" s="291"/>
      <c r="J20" s="291" t="s">
        <v>117</v>
      </c>
      <c r="K20" s="313" t="s">
        <v>118</v>
      </c>
      <c r="L20" s="296">
        <f>'LAPTOP 2026'!M68</f>
        <v>46121</v>
      </c>
      <c r="M20" s="264" t="s">
        <v>52</v>
      </c>
      <c r="N20" s="264" t="s">
        <v>108</v>
      </c>
    </row>
    <row r="21" spans="2:14" s="22" customFormat="1">
      <c r="B21" s="11"/>
      <c r="C21" s="267"/>
      <c r="D21" s="267"/>
      <c r="E21" s="268"/>
      <c r="F21" s="268"/>
      <c r="G21" s="12"/>
      <c r="H21" s="12"/>
      <c r="I21" s="12"/>
      <c r="J21" s="12"/>
    </row>
    <row r="22" spans="2:14" s="22" customFormat="1" ht="75.75" customHeight="1">
      <c r="B22" s="11"/>
      <c r="C22" s="267"/>
      <c r="D22" s="267"/>
      <c r="E22" s="268"/>
      <c r="F22" s="268"/>
      <c r="G22" s="12"/>
      <c r="H22" s="12"/>
      <c r="I22" s="12"/>
      <c r="J22" s="12"/>
    </row>
    <row r="23" spans="2:14" ht="14" thickBot="1">
      <c r="B23" s="290" t="s">
        <v>0</v>
      </c>
      <c r="C23" s="290" t="s">
        <v>1</v>
      </c>
      <c r="D23" s="290" t="s">
        <v>2</v>
      </c>
      <c r="E23" s="290" t="s">
        <v>3</v>
      </c>
      <c r="F23" s="290" t="s">
        <v>4</v>
      </c>
      <c r="G23" s="290" t="s">
        <v>5</v>
      </c>
      <c r="H23" s="290" t="s">
        <v>6</v>
      </c>
      <c r="I23" s="290" t="s">
        <v>7</v>
      </c>
      <c r="J23" s="290" t="s">
        <v>8</v>
      </c>
      <c r="K23" s="290" t="s">
        <v>9</v>
      </c>
      <c r="L23" s="290" t="s">
        <v>10</v>
      </c>
      <c r="M23" s="290" t="s">
        <v>11</v>
      </c>
      <c r="N23" s="290" t="s">
        <v>12</v>
      </c>
    </row>
    <row r="24" spans="2:14" s="22" customFormat="1" ht="17" thickBot="1">
      <c r="B24" s="456" t="s">
        <v>119</v>
      </c>
      <c r="C24" s="292">
        <v>7</v>
      </c>
      <c r="D24" s="293" t="s">
        <v>14</v>
      </c>
      <c r="E24" s="294" t="s">
        <v>120</v>
      </c>
      <c r="F24" s="294" t="s">
        <v>121</v>
      </c>
      <c r="G24" s="291" t="s">
        <v>122</v>
      </c>
      <c r="H24" s="291" t="s">
        <v>123</v>
      </c>
      <c r="I24" s="291" t="s">
        <v>19</v>
      </c>
      <c r="J24" s="291" t="s">
        <v>124</v>
      </c>
      <c r="K24" s="295" t="s">
        <v>125</v>
      </c>
      <c r="L24" s="296" t="s">
        <v>126</v>
      </c>
      <c r="M24" s="297" t="s">
        <v>22</v>
      </c>
      <c r="N24" s="264" t="s">
        <v>108</v>
      </c>
    </row>
    <row r="25" spans="2:14" s="38" customFormat="1" ht="15.5" thickBot="1">
      <c r="B25" s="457"/>
      <c r="C25" s="292">
        <v>8</v>
      </c>
      <c r="D25" s="292"/>
      <c r="E25" s="294" t="s">
        <v>127</v>
      </c>
      <c r="F25" s="294" t="s">
        <v>121</v>
      </c>
      <c r="G25" s="291" t="s">
        <v>122</v>
      </c>
      <c r="H25" s="291" t="s">
        <v>128</v>
      </c>
      <c r="I25" s="291" t="s">
        <v>79</v>
      </c>
      <c r="J25" s="291" t="s">
        <v>129</v>
      </c>
      <c r="K25" s="418" t="s">
        <v>130</v>
      </c>
      <c r="L25" s="296" t="s">
        <v>126</v>
      </c>
      <c r="M25" s="419" t="s">
        <v>131</v>
      </c>
      <c r="N25" s="264" t="s">
        <v>53</v>
      </c>
    </row>
  </sheetData>
  <mergeCells count="8">
    <mergeCell ref="B24:B25"/>
    <mergeCell ref="B13:B19"/>
    <mergeCell ref="C8:C9"/>
    <mergeCell ref="B5:B7"/>
    <mergeCell ref="C6:C7"/>
    <mergeCell ref="B10:B11"/>
    <mergeCell ref="C10:C11"/>
    <mergeCell ref="C13:C17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6287B-B17D-4F60-B12F-FA56EAEAC306}">
  <dimension ref="A2:K24"/>
  <sheetViews>
    <sheetView zoomScale="90" zoomScaleNormal="90" workbookViewId="0">
      <pane xSplit="1" ySplit="2" topLeftCell="D6" activePane="bottomRight" state="frozen"/>
      <selection pane="topRight" activeCell="B1" sqref="B1"/>
      <selection pane="bottomLeft" activeCell="A2" sqref="A2"/>
      <selection pane="bottomRight" activeCell="D10" sqref="D10"/>
    </sheetView>
  </sheetViews>
  <sheetFormatPr defaultColWidth="8.83203125" defaultRowHeight="13.5"/>
  <cols>
    <col min="1" max="1" width="25.5" style="62" bestFit="1" customWidth="1"/>
    <col min="2" max="2" width="49.5" style="65" customWidth="1"/>
    <col min="3" max="3" width="48.5" style="62" customWidth="1"/>
    <col min="4" max="4" width="47.83203125" style="62" customWidth="1"/>
    <col min="5" max="5" width="48.25" style="62" customWidth="1"/>
    <col min="6" max="9" width="32.08203125" style="62" customWidth="1"/>
    <col min="10" max="10" width="42.5" style="62" customWidth="1"/>
    <col min="11" max="11" width="49.5" style="65" customWidth="1"/>
    <col min="12" max="16384" width="8.83203125" style="62"/>
  </cols>
  <sheetData>
    <row r="2" spans="1:11" ht="89.9" customHeight="1">
      <c r="A2" s="66"/>
      <c r="B2" s="68" t="s">
        <v>132</v>
      </c>
      <c r="C2" s="67" t="s">
        <v>133</v>
      </c>
      <c r="D2" s="66" t="s">
        <v>134</v>
      </c>
      <c r="E2" s="66" t="s">
        <v>135</v>
      </c>
      <c r="F2" s="66" t="s">
        <v>136</v>
      </c>
      <c r="G2" s="66" t="s">
        <v>137</v>
      </c>
      <c r="H2" s="66" t="s">
        <v>138</v>
      </c>
      <c r="I2" s="66" t="s">
        <v>139</v>
      </c>
      <c r="J2" s="66" t="s">
        <v>140</v>
      </c>
      <c r="K2" s="68"/>
    </row>
    <row r="3" spans="1:11" ht="30" customHeight="1">
      <c r="A3" s="69" t="s">
        <v>141</v>
      </c>
      <c r="B3" s="71" t="s">
        <v>142</v>
      </c>
      <c r="C3" s="70" t="s">
        <v>143</v>
      </c>
      <c r="D3" s="70" t="s">
        <v>144</v>
      </c>
      <c r="E3" s="70" t="s">
        <v>144</v>
      </c>
      <c r="F3" s="70" t="s">
        <v>144</v>
      </c>
      <c r="G3" s="70" t="s">
        <v>144</v>
      </c>
      <c r="H3" s="70" t="s">
        <v>144</v>
      </c>
      <c r="I3" s="70" t="s">
        <v>145</v>
      </c>
      <c r="J3" s="70" t="s">
        <v>144</v>
      </c>
      <c r="K3" s="71"/>
    </row>
    <row r="4" spans="1:11" ht="120" customHeight="1">
      <c r="A4" s="69" t="s">
        <v>4</v>
      </c>
      <c r="B4" s="71" t="s">
        <v>146</v>
      </c>
      <c r="C4" s="70" t="s">
        <v>147</v>
      </c>
      <c r="D4" s="70" t="s">
        <v>147</v>
      </c>
      <c r="E4" s="63" t="s">
        <v>148</v>
      </c>
      <c r="F4" s="70" t="s">
        <v>149</v>
      </c>
      <c r="G4" s="70" t="s">
        <v>149</v>
      </c>
      <c r="H4" s="64" t="s">
        <v>150</v>
      </c>
      <c r="I4" s="70" t="s">
        <v>149</v>
      </c>
      <c r="J4" s="70" t="s">
        <v>151</v>
      </c>
      <c r="K4" s="71"/>
    </row>
    <row r="5" spans="1:11" ht="49.4" customHeight="1">
      <c r="A5" s="69" t="s">
        <v>5</v>
      </c>
      <c r="B5" s="71" t="s">
        <v>152</v>
      </c>
      <c r="C5" s="70" t="s">
        <v>153</v>
      </c>
      <c r="D5" s="70" t="s">
        <v>153</v>
      </c>
      <c r="E5" s="63" t="s">
        <v>154</v>
      </c>
      <c r="F5" s="70" t="s">
        <v>155</v>
      </c>
      <c r="G5" s="70" t="s">
        <v>155</v>
      </c>
      <c r="H5" s="70" t="s">
        <v>155</v>
      </c>
      <c r="I5" s="70" t="s">
        <v>155</v>
      </c>
      <c r="J5" s="70" t="s">
        <v>156</v>
      </c>
      <c r="K5" s="71"/>
    </row>
    <row r="6" spans="1:11" ht="25.4" customHeight="1">
      <c r="A6" s="69" t="s">
        <v>157</v>
      </c>
      <c r="B6" s="71" t="s">
        <v>158</v>
      </c>
      <c r="C6" s="70" t="s">
        <v>159</v>
      </c>
      <c r="D6" s="70" t="s">
        <v>160</v>
      </c>
      <c r="E6" s="70" t="s">
        <v>160</v>
      </c>
      <c r="F6" s="70"/>
      <c r="G6" s="70"/>
      <c r="H6" s="70"/>
      <c r="I6" s="70"/>
      <c r="J6" s="70"/>
      <c r="K6" s="71"/>
    </row>
    <row r="7" spans="1:11" ht="212.15" customHeight="1">
      <c r="A7" s="69" t="s">
        <v>161</v>
      </c>
      <c r="B7" s="71" t="s">
        <v>162</v>
      </c>
      <c r="C7" s="70" t="s">
        <v>163</v>
      </c>
      <c r="D7" s="70" t="s">
        <v>164</v>
      </c>
      <c r="E7" s="70" t="s">
        <v>165</v>
      </c>
      <c r="F7" s="70" t="s">
        <v>166</v>
      </c>
      <c r="G7" s="70" t="s">
        <v>166</v>
      </c>
      <c r="H7" s="70" t="s">
        <v>166</v>
      </c>
      <c r="I7" s="70" t="s">
        <v>166</v>
      </c>
      <c r="J7" s="70" t="s">
        <v>167</v>
      </c>
      <c r="K7" s="71"/>
    </row>
    <row r="8" spans="1:11" ht="37.5" customHeight="1">
      <c r="A8" s="69" t="s">
        <v>168</v>
      </c>
      <c r="B8" s="71" t="s">
        <v>169</v>
      </c>
      <c r="C8" s="63" t="s">
        <v>170</v>
      </c>
      <c r="D8" s="70" t="s">
        <v>171</v>
      </c>
      <c r="E8" s="70" t="s">
        <v>171</v>
      </c>
      <c r="F8" s="70" t="s">
        <v>172</v>
      </c>
      <c r="G8" s="70" t="s">
        <v>172</v>
      </c>
      <c r="H8" s="70" t="s">
        <v>172</v>
      </c>
      <c r="I8" s="70" t="s">
        <v>172</v>
      </c>
      <c r="J8" s="70" t="s">
        <v>173</v>
      </c>
      <c r="K8" s="71"/>
    </row>
    <row r="9" spans="1:11" ht="43.5" customHeight="1">
      <c r="A9" s="69" t="s">
        <v>174</v>
      </c>
      <c r="B9" s="71" t="s">
        <v>175</v>
      </c>
      <c r="C9" s="63" t="s">
        <v>176</v>
      </c>
      <c r="D9" s="70" t="s">
        <v>177</v>
      </c>
      <c r="E9" s="70" t="s">
        <v>177</v>
      </c>
      <c r="F9" s="64" t="s">
        <v>178</v>
      </c>
      <c r="G9" s="70" t="s">
        <v>179</v>
      </c>
      <c r="H9" s="70" t="s">
        <v>179</v>
      </c>
      <c r="I9" s="70" t="s">
        <v>178</v>
      </c>
      <c r="J9" s="70" t="s">
        <v>180</v>
      </c>
      <c r="K9" s="71"/>
    </row>
    <row r="10" spans="1:11" ht="133.4" customHeight="1">
      <c r="A10" s="69" t="s">
        <v>181</v>
      </c>
      <c r="B10" s="71" t="s">
        <v>182</v>
      </c>
      <c r="C10" s="70" t="s">
        <v>183</v>
      </c>
      <c r="D10" s="70" t="s">
        <v>184</v>
      </c>
      <c r="E10" s="70" t="s">
        <v>184</v>
      </c>
      <c r="F10" s="70" t="s">
        <v>185</v>
      </c>
      <c r="G10" s="70" t="s">
        <v>185</v>
      </c>
      <c r="H10" s="70" t="s">
        <v>185</v>
      </c>
      <c r="I10" s="70" t="s">
        <v>185</v>
      </c>
      <c r="J10" s="70" t="s">
        <v>186</v>
      </c>
      <c r="K10" s="71"/>
    </row>
    <row r="11" spans="1:11" ht="239.9" customHeight="1">
      <c r="A11" s="72" t="s">
        <v>187</v>
      </c>
      <c r="B11" s="74" t="s">
        <v>188</v>
      </c>
      <c r="C11" s="73" t="s">
        <v>189</v>
      </c>
      <c r="D11" s="73" t="s">
        <v>190</v>
      </c>
      <c r="E11" s="73" t="s">
        <v>190</v>
      </c>
      <c r="F11" s="73" t="s">
        <v>191</v>
      </c>
      <c r="G11" s="73" t="s">
        <v>192</v>
      </c>
      <c r="H11" s="73" t="s">
        <v>192</v>
      </c>
      <c r="I11" s="73" t="s">
        <v>192</v>
      </c>
      <c r="J11" s="73" t="s">
        <v>193</v>
      </c>
      <c r="K11" s="74"/>
    </row>
    <row r="12" spans="1:11" ht="111.75" customHeight="1">
      <c r="A12" s="69" t="s">
        <v>194</v>
      </c>
      <c r="B12" s="71" t="s">
        <v>195</v>
      </c>
      <c r="C12" s="70" t="s">
        <v>196</v>
      </c>
      <c r="D12" s="70" t="s">
        <v>197</v>
      </c>
      <c r="E12" s="70" t="s">
        <v>197</v>
      </c>
      <c r="F12" s="70" t="s">
        <v>198</v>
      </c>
      <c r="G12" s="70" t="s">
        <v>198</v>
      </c>
      <c r="H12" s="70" t="s">
        <v>198</v>
      </c>
      <c r="I12" s="70" t="s">
        <v>198</v>
      </c>
      <c r="J12" s="70" t="s">
        <v>199</v>
      </c>
      <c r="K12" s="71"/>
    </row>
    <row r="13" spans="1:11" ht="16.5" customHeight="1">
      <c r="A13" s="69" t="s">
        <v>200</v>
      </c>
      <c r="B13" s="71" t="s">
        <v>201</v>
      </c>
      <c r="C13" s="70" t="s">
        <v>202</v>
      </c>
      <c r="D13" s="70" t="s">
        <v>202</v>
      </c>
      <c r="E13" s="70" t="s">
        <v>202</v>
      </c>
      <c r="F13" s="70" t="s">
        <v>203</v>
      </c>
      <c r="G13" s="70" t="s">
        <v>203</v>
      </c>
      <c r="H13" s="70" t="s">
        <v>203</v>
      </c>
      <c r="I13" s="70" t="s">
        <v>203</v>
      </c>
      <c r="J13" s="70" t="s">
        <v>204</v>
      </c>
      <c r="K13" s="71"/>
    </row>
    <row r="14" spans="1:11" ht="19.5" customHeight="1">
      <c r="A14" s="69" t="s">
        <v>205</v>
      </c>
      <c r="B14" s="76">
        <v>5.3</v>
      </c>
      <c r="C14" s="75">
        <v>5.2</v>
      </c>
      <c r="D14" s="75">
        <v>5.2</v>
      </c>
      <c r="E14" s="75">
        <v>5.2</v>
      </c>
      <c r="F14" s="75">
        <v>5.4</v>
      </c>
      <c r="G14" s="75">
        <v>5.4</v>
      </c>
      <c r="H14" s="75">
        <v>5.4</v>
      </c>
      <c r="I14" s="75">
        <v>5.4</v>
      </c>
      <c r="J14" s="75">
        <v>5.3</v>
      </c>
      <c r="K14" s="76"/>
    </row>
    <row r="15" spans="1:11" ht="108" customHeight="1">
      <c r="A15" s="69" t="s">
        <v>206</v>
      </c>
      <c r="B15" s="71" t="s">
        <v>207</v>
      </c>
      <c r="C15" s="70" t="s">
        <v>208</v>
      </c>
      <c r="D15" s="70" t="s">
        <v>209</v>
      </c>
      <c r="E15" s="70" t="s">
        <v>209</v>
      </c>
      <c r="F15" s="70" t="s">
        <v>210</v>
      </c>
      <c r="G15" s="70" t="s">
        <v>210</v>
      </c>
      <c r="H15" s="70" t="s">
        <v>210</v>
      </c>
      <c r="I15" s="70" t="s">
        <v>210</v>
      </c>
      <c r="J15" s="70" t="s">
        <v>211</v>
      </c>
      <c r="K15" s="71"/>
    </row>
    <row r="16" spans="1:11" ht="80.900000000000006" customHeight="1">
      <c r="A16" s="69" t="s">
        <v>212</v>
      </c>
      <c r="B16" s="71" t="s">
        <v>213</v>
      </c>
      <c r="C16" s="70" t="s">
        <v>214</v>
      </c>
      <c r="D16" s="70" t="s">
        <v>215</v>
      </c>
      <c r="E16" s="70" t="s">
        <v>215</v>
      </c>
      <c r="F16" s="70" t="s">
        <v>216</v>
      </c>
      <c r="G16" s="70" t="s">
        <v>216</v>
      </c>
      <c r="H16" s="70" t="s">
        <v>216</v>
      </c>
      <c r="I16" s="70" t="s">
        <v>216</v>
      </c>
      <c r="J16" s="70" t="s">
        <v>217</v>
      </c>
      <c r="K16" s="71"/>
    </row>
    <row r="17" spans="1:11" ht="24" customHeight="1">
      <c r="A17" s="69" t="s">
        <v>218</v>
      </c>
      <c r="B17" s="71" t="s">
        <v>219</v>
      </c>
      <c r="C17" s="70" t="s">
        <v>220</v>
      </c>
      <c r="D17" s="70" t="s">
        <v>221</v>
      </c>
      <c r="E17" s="70" t="s">
        <v>221</v>
      </c>
      <c r="F17" s="70" t="s">
        <v>222</v>
      </c>
      <c r="G17" s="70" t="s">
        <v>222</v>
      </c>
      <c r="H17" s="70" t="s">
        <v>222</v>
      </c>
      <c r="I17" s="70" t="s">
        <v>222</v>
      </c>
      <c r="J17" s="70"/>
      <c r="K17" s="71"/>
    </row>
    <row r="18" spans="1:11" ht="24" customHeight="1">
      <c r="A18" s="69" t="s">
        <v>223</v>
      </c>
      <c r="B18" s="71" t="s">
        <v>224</v>
      </c>
      <c r="C18" s="63" t="s">
        <v>225</v>
      </c>
      <c r="D18" s="70" t="s">
        <v>226</v>
      </c>
      <c r="E18" s="70" t="s">
        <v>226</v>
      </c>
      <c r="F18" s="70" t="s">
        <v>225</v>
      </c>
      <c r="G18" s="70" t="s">
        <v>225</v>
      </c>
      <c r="H18" s="70" t="s">
        <v>225</v>
      </c>
      <c r="I18" s="70" t="s">
        <v>225</v>
      </c>
      <c r="J18" s="70" t="s">
        <v>227</v>
      </c>
      <c r="K18" s="71"/>
    </row>
    <row r="19" spans="1:11" ht="41.9" customHeight="1">
      <c r="A19" s="69" t="s">
        <v>228</v>
      </c>
      <c r="B19" s="71" t="s">
        <v>229</v>
      </c>
      <c r="C19" s="63" t="s">
        <v>230</v>
      </c>
      <c r="D19" s="70" t="s">
        <v>231</v>
      </c>
      <c r="E19" s="70" t="s">
        <v>231</v>
      </c>
      <c r="F19" s="70" t="s">
        <v>232</v>
      </c>
      <c r="G19" s="70" t="s">
        <v>232</v>
      </c>
      <c r="H19" s="70" t="s">
        <v>232</v>
      </c>
      <c r="I19" s="70" t="s">
        <v>232</v>
      </c>
      <c r="J19" s="70" t="s">
        <v>233</v>
      </c>
      <c r="K19" s="71"/>
    </row>
    <row r="20" spans="1:11" ht="24" customHeight="1">
      <c r="A20" s="69" t="s">
        <v>234</v>
      </c>
      <c r="B20" s="71" t="s">
        <v>235</v>
      </c>
      <c r="C20" s="63" t="s">
        <v>236</v>
      </c>
      <c r="D20" s="70" t="s">
        <v>237</v>
      </c>
      <c r="E20" s="70" t="s">
        <v>237</v>
      </c>
      <c r="F20" s="70" t="s">
        <v>237</v>
      </c>
      <c r="G20" s="70" t="s">
        <v>237</v>
      </c>
      <c r="H20" s="70" t="s">
        <v>237</v>
      </c>
      <c r="I20" s="70" t="s">
        <v>237</v>
      </c>
      <c r="J20" s="70" t="s">
        <v>237</v>
      </c>
      <c r="K20" s="71"/>
    </row>
    <row r="21" spans="1:11" ht="40.4" customHeight="1">
      <c r="A21" s="69" t="s">
        <v>238</v>
      </c>
      <c r="B21" s="71" t="s">
        <v>239</v>
      </c>
      <c r="C21" s="70" t="s">
        <v>240</v>
      </c>
      <c r="D21" s="70" t="s">
        <v>240</v>
      </c>
      <c r="E21" s="70" t="s">
        <v>240</v>
      </c>
      <c r="F21" s="70" t="s">
        <v>237</v>
      </c>
      <c r="G21" s="70" t="s">
        <v>237</v>
      </c>
      <c r="H21" s="70" t="s">
        <v>237</v>
      </c>
      <c r="I21" s="70" t="s">
        <v>241</v>
      </c>
      <c r="J21" s="70" t="s">
        <v>242</v>
      </c>
      <c r="K21" s="71"/>
    </row>
    <row r="22" spans="1:11" ht="40.4" customHeight="1">
      <c r="A22" s="69" t="s">
        <v>243</v>
      </c>
      <c r="B22" s="71"/>
      <c r="C22" s="70"/>
      <c r="D22" s="70"/>
      <c r="E22" s="70"/>
      <c r="F22" s="70"/>
      <c r="G22" s="70"/>
      <c r="H22" s="70"/>
      <c r="I22" s="70"/>
      <c r="J22" s="70"/>
      <c r="K22" s="71"/>
    </row>
    <row r="23" spans="1:11" ht="40.4" customHeight="1">
      <c r="A23" s="69" t="s">
        <v>244</v>
      </c>
      <c r="B23" s="71"/>
      <c r="C23" s="70"/>
      <c r="D23" s="70"/>
      <c r="E23" s="70"/>
      <c r="F23" s="70"/>
      <c r="G23" s="70"/>
      <c r="H23" s="70"/>
      <c r="I23" s="70"/>
      <c r="J23" s="70"/>
      <c r="K23" s="71"/>
    </row>
    <row r="24" spans="1:11" ht="24" customHeight="1">
      <c r="A24" s="69" t="s">
        <v>245</v>
      </c>
      <c r="B24" s="71"/>
      <c r="C24" s="77">
        <v>799.99</v>
      </c>
      <c r="D24" s="77">
        <v>649.99</v>
      </c>
      <c r="E24" s="77">
        <v>499.99</v>
      </c>
      <c r="F24" s="77">
        <v>799</v>
      </c>
      <c r="G24" s="77">
        <v>749</v>
      </c>
      <c r="H24" s="77">
        <v>699</v>
      </c>
      <c r="I24" s="69" t="s">
        <v>79</v>
      </c>
      <c r="J24" s="77">
        <v>699</v>
      </c>
      <c r="K24" s="71"/>
    </row>
  </sheetData>
  <phoneticPr fontId="10" type="noConversion"/>
  <pageMargins left="0.7" right="0.7" top="0.75" bottom="0.75" header="0.3" footer="0.3"/>
  <pageSetup paperSize="9" orientation="portrait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4D22F-B506-4B79-A6E8-F78247716B72}">
  <dimension ref="A1:W90"/>
  <sheetViews>
    <sheetView tabSelected="1" topLeftCell="A4" zoomScaleNormal="100" workbookViewId="0">
      <pane xSplit="2" ySplit="4" topLeftCell="P55" activePane="bottomRight" state="frozen"/>
      <selection pane="topRight"/>
      <selection pane="bottomLeft"/>
      <selection pane="bottomRight" activeCell="Q48" sqref="Q48"/>
    </sheetView>
  </sheetViews>
  <sheetFormatPr defaultColWidth="9" defaultRowHeight="15" customHeight="1"/>
  <cols>
    <col min="1" max="1" width="2.33203125" customWidth="1"/>
    <col min="2" max="2" width="31.75" customWidth="1"/>
    <col min="3" max="3" width="70.25" style="281" customWidth="1"/>
    <col min="4" max="4" width="69.83203125" style="281" customWidth="1"/>
    <col min="5" max="5" width="66.33203125" style="281" customWidth="1"/>
    <col min="6" max="6" width="71.25" style="281" customWidth="1"/>
    <col min="7" max="7" width="67.75" style="281" customWidth="1"/>
    <col min="8" max="8" width="70.33203125" style="281" customWidth="1"/>
    <col min="9" max="9" width="19.5" style="281" hidden="1" customWidth="1"/>
    <col min="10" max="10" width="78.33203125" style="281" customWidth="1"/>
    <col min="11" max="11" width="0.75" style="281" hidden="1" customWidth="1"/>
    <col min="12" max="12" width="53.83203125" style="281" customWidth="1"/>
    <col min="13" max="13" width="63.83203125" style="281" customWidth="1"/>
    <col min="14" max="14" width="64.25" style="281" customWidth="1"/>
    <col min="15" max="15" width="63.25" style="281" customWidth="1"/>
    <col min="16" max="16" width="65.5" style="281" customWidth="1"/>
    <col min="17" max="17" width="65.58203125" style="281" customWidth="1"/>
    <col min="18" max="18" width="63.33203125" style="281" customWidth="1"/>
    <col min="19" max="19" width="63.58203125" style="281" customWidth="1"/>
    <col min="20" max="20" width="63.33203125" customWidth="1"/>
  </cols>
  <sheetData>
    <row r="1" spans="1:20" ht="15.5">
      <c r="A1" s="269" t="s">
        <v>246</v>
      </c>
      <c r="B1" s="269" t="s">
        <v>246</v>
      </c>
      <c r="C1" s="274" t="s">
        <v>246</v>
      </c>
      <c r="D1" s="274" t="s">
        <v>246</v>
      </c>
      <c r="E1" s="274" t="s">
        <v>246</v>
      </c>
      <c r="F1" s="274" t="s">
        <v>246</v>
      </c>
      <c r="G1" s="274" t="s">
        <v>246</v>
      </c>
      <c r="H1" s="274" t="s">
        <v>246</v>
      </c>
      <c r="I1" s="274" t="s">
        <v>246</v>
      </c>
      <c r="J1" s="274" t="s">
        <v>246</v>
      </c>
      <c r="K1" s="274" t="s">
        <v>246</v>
      </c>
      <c r="L1" s="274" t="s">
        <v>246</v>
      </c>
      <c r="M1" s="274" t="s">
        <v>246</v>
      </c>
      <c r="N1" s="274" t="s">
        <v>246</v>
      </c>
      <c r="O1" s="274" t="s">
        <v>246</v>
      </c>
      <c r="P1" s="274"/>
      <c r="Q1" s="274"/>
      <c r="R1" s="274" t="s">
        <v>246</v>
      </c>
      <c r="S1" s="274" t="s">
        <v>246</v>
      </c>
      <c r="T1" s="274"/>
    </row>
    <row r="2" spans="1:20" ht="27">
      <c r="A2" s="269" t="s">
        <v>246</v>
      </c>
      <c r="B2" s="270" t="s">
        <v>247</v>
      </c>
      <c r="C2" s="275"/>
      <c r="D2" s="275"/>
      <c r="E2" s="274" t="s">
        <v>246</v>
      </c>
      <c r="F2" s="274" t="s">
        <v>246</v>
      </c>
      <c r="G2" s="274" t="s">
        <v>246</v>
      </c>
      <c r="H2" s="274" t="s">
        <v>246</v>
      </c>
      <c r="I2" s="274" t="s">
        <v>246</v>
      </c>
      <c r="J2" s="274" t="s">
        <v>246</v>
      </c>
      <c r="K2" s="274" t="s">
        <v>246</v>
      </c>
      <c r="L2" s="274" t="s">
        <v>246</v>
      </c>
      <c r="M2" s="274" t="s">
        <v>246</v>
      </c>
      <c r="N2" s="274" t="s">
        <v>246</v>
      </c>
      <c r="O2" s="274" t="s">
        <v>246</v>
      </c>
      <c r="P2" s="274"/>
      <c r="Q2" s="274"/>
      <c r="R2" s="274" t="s">
        <v>246</v>
      </c>
      <c r="S2" s="274" t="s">
        <v>246</v>
      </c>
      <c r="T2" s="274"/>
    </row>
    <row r="3" spans="1:20" ht="15.5">
      <c r="A3" s="269" t="s">
        <v>246</v>
      </c>
      <c r="B3" s="269" t="s">
        <v>246</v>
      </c>
      <c r="C3" s="274" t="s">
        <v>246</v>
      </c>
      <c r="D3" s="274" t="s">
        <v>246</v>
      </c>
      <c r="E3" s="274" t="s">
        <v>246</v>
      </c>
      <c r="F3" s="274" t="s">
        <v>246</v>
      </c>
      <c r="G3" s="274" t="s">
        <v>246</v>
      </c>
      <c r="H3" s="274" t="s">
        <v>246</v>
      </c>
      <c r="I3" s="274" t="s">
        <v>246</v>
      </c>
      <c r="J3" s="274" t="s">
        <v>246</v>
      </c>
      <c r="K3" s="274" t="s">
        <v>246</v>
      </c>
      <c r="L3" s="274" t="s">
        <v>246</v>
      </c>
      <c r="M3" s="274" t="s">
        <v>246</v>
      </c>
      <c r="N3" s="274" t="s">
        <v>246</v>
      </c>
      <c r="O3" s="274" t="s">
        <v>246</v>
      </c>
      <c r="P3" s="274"/>
      <c r="Q3" s="274"/>
      <c r="R3" s="274" t="s">
        <v>246</v>
      </c>
      <c r="S3" s="274" t="s">
        <v>246</v>
      </c>
      <c r="T3" s="274"/>
    </row>
    <row r="4" spans="1:20" ht="15.5">
      <c r="A4" s="269" t="s">
        <v>246</v>
      </c>
      <c r="B4" s="269" t="s">
        <v>246</v>
      </c>
      <c r="C4" s="274" t="s">
        <v>246</v>
      </c>
      <c r="D4" s="274" t="s">
        <v>246</v>
      </c>
      <c r="E4" s="274" t="s">
        <v>246</v>
      </c>
      <c r="F4" s="274" t="s">
        <v>246</v>
      </c>
      <c r="G4" s="276" t="s">
        <v>82</v>
      </c>
      <c r="H4" s="274" t="s">
        <v>246</v>
      </c>
      <c r="I4" s="288" t="s">
        <v>248</v>
      </c>
      <c r="J4" s="274" t="s">
        <v>246</v>
      </c>
      <c r="K4" s="288" t="s">
        <v>249</v>
      </c>
      <c r="L4" s="274" t="s">
        <v>246</v>
      </c>
      <c r="M4" s="274" t="s">
        <v>246</v>
      </c>
      <c r="N4" s="274" t="s">
        <v>246</v>
      </c>
      <c r="O4" s="274" t="s">
        <v>246</v>
      </c>
      <c r="P4" s="274"/>
      <c r="Q4" s="274"/>
      <c r="R4" s="274" t="s">
        <v>246</v>
      </c>
      <c r="S4" s="274" t="s">
        <v>246</v>
      </c>
      <c r="T4" s="274"/>
    </row>
    <row r="5" spans="1:20" ht="15.5">
      <c r="A5" s="271" t="s">
        <v>246</v>
      </c>
      <c r="B5" s="272" t="s">
        <v>246</v>
      </c>
      <c r="C5" s="277" t="s">
        <v>250</v>
      </c>
      <c r="D5" s="277" t="s">
        <v>50</v>
      </c>
      <c r="E5" s="277" t="s">
        <v>50</v>
      </c>
      <c r="F5" s="277" t="s">
        <v>251</v>
      </c>
      <c r="G5" s="277" t="s">
        <v>252</v>
      </c>
      <c r="H5" s="277" t="s">
        <v>253</v>
      </c>
      <c r="I5" s="277" t="s">
        <v>254</v>
      </c>
      <c r="J5" s="277" t="s">
        <v>255</v>
      </c>
      <c r="K5" s="277" t="s">
        <v>256</v>
      </c>
      <c r="L5" s="277" t="s">
        <v>256</v>
      </c>
      <c r="M5" s="277" t="s">
        <v>257</v>
      </c>
      <c r="N5" s="277" t="s">
        <v>258</v>
      </c>
      <c r="O5" s="277" t="s">
        <v>258</v>
      </c>
      <c r="P5" s="277" t="s">
        <v>99</v>
      </c>
      <c r="Q5" s="277" t="s">
        <v>258</v>
      </c>
      <c r="R5" s="277" t="s">
        <v>106</v>
      </c>
      <c r="S5" s="277" t="s">
        <v>259</v>
      </c>
      <c r="T5" s="277" t="s">
        <v>99</v>
      </c>
    </row>
    <row r="6" spans="1:20" ht="15.5">
      <c r="A6" s="271" t="s">
        <v>246</v>
      </c>
      <c r="B6" s="272" t="s">
        <v>246</v>
      </c>
      <c r="C6" s="278" t="str">
        <f>'2026 Project'!K4</f>
        <v>PH18-I71</v>
      </c>
      <c r="D6" s="278" t="str">
        <f>'2026 Project'!K8</f>
        <v>PHN16S-I51</v>
      </c>
      <c r="E6" s="278" t="str">
        <f>'2026 Project'!K9</f>
        <v>PHN16S-I71</v>
      </c>
      <c r="F6" s="278" t="str">
        <f>'2026 Project'!K6</f>
        <v>PHN16-I71</v>
      </c>
      <c r="G6" s="278" t="str">
        <f>'2026 Project'!K7</f>
        <v>PHN16-I31</v>
      </c>
      <c r="H6" s="278" t="str">
        <f>'2026 Project'!K5</f>
        <v>PHN18-I71</v>
      </c>
      <c r="I6" s="278" t="str">
        <f>'2026 Project'!K11</f>
        <v>AN16-A71</v>
      </c>
      <c r="J6" s="278" t="str">
        <f>'2026 Project'!K10</f>
        <v>AN16-A91</v>
      </c>
      <c r="K6" s="278" t="e">
        <f>'2026 Project'!#REF!</f>
        <v>#REF!</v>
      </c>
      <c r="L6" s="278" t="str">
        <f>'2026 Project'!K12</f>
        <v>ANE16-N51</v>
      </c>
      <c r="M6" s="278" t="str">
        <f>'2026 Project'!K20</f>
        <v>ANV16S-I51</v>
      </c>
      <c r="N6" s="278" t="str">
        <f>'2026 Project'!K13</f>
        <v>ANV16-I51</v>
      </c>
      <c r="O6" s="278" t="str">
        <f>'2026 Project'!K14</f>
        <v>ANV16-A71</v>
      </c>
      <c r="P6" s="278" t="str">
        <f>'2026 Project'!K16</f>
        <v>ANV16-I31</v>
      </c>
      <c r="Q6" s="278" t="str">
        <f>'2026 Project'!K15</f>
        <v>ANV16-A31</v>
      </c>
      <c r="R6" s="279" t="str">
        <f>'2026 Project'!K18</f>
        <v>ANV17-I31</v>
      </c>
      <c r="S6" s="278" t="str">
        <f>'2026 Project'!K19</f>
        <v>ANV15-A31</v>
      </c>
      <c r="T6" s="278" t="str">
        <f>'2026 Project'!K17</f>
        <v xml:space="preserve">ANV16-I11 </v>
      </c>
    </row>
    <row r="7" spans="1:20" ht="17.5">
      <c r="A7" s="271" t="s">
        <v>246</v>
      </c>
      <c r="B7" s="273" t="s">
        <v>260</v>
      </c>
      <c r="C7" s="280" t="s">
        <v>15</v>
      </c>
      <c r="D7" s="280" t="s">
        <v>47</v>
      </c>
      <c r="E7" s="280" t="s">
        <v>55</v>
      </c>
      <c r="F7" s="280" t="s">
        <v>261</v>
      </c>
      <c r="G7" s="280" t="s">
        <v>262</v>
      </c>
      <c r="H7" s="280" t="s">
        <v>263</v>
      </c>
      <c r="I7" s="280" t="s">
        <v>67</v>
      </c>
      <c r="J7" s="280" t="s">
        <v>61</v>
      </c>
      <c r="K7" s="280" t="s">
        <v>264</v>
      </c>
      <c r="L7" s="280" t="s">
        <v>265</v>
      </c>
      <c r="M7" s="280" t="s">
        <v>115</v>
      </c>
      <c r="N7" s="280" t="s">
        <v>83</v>
      </c>
      <c r="O7" s="280" t="s">
        <v>88</v>
      </c>
      <c r="P7" s="280" t="s">
        <v>266</v>
      </c>
      <c r="Q7" s="280" t="s">
        <v>91</v>
      </c>
      <c r="R7" s="280" t="s">
        <v>267</v>
      </c>
      <c r="S7" s="280" t="s">
        <v>268</v>
      </c>
      <c r="T7" s="280" t="s">
        <v>101</v>
      </c>
    </row>
    <row r="8" spans="1:20" ht="15.5">
      <c r="A8" s="382" t="s">
        <v>246</v>
      </c>
      <c r="B8" s="383" t="s">
        <v>246</v>
      </c>
      <c r="C8" s="384" t="s">
        <v>246</v>
      </c>
      <c r="D8" s="384" t="s">
        <v>246</v>
      </c>
      <c r="E8" s="384" t="s">
        <v>246</v>
      </c>
      <c r="F8" s="384" t="s">
        <v>246</v>
      </c>
      <c r="G8" s="384" t="s">
        <v>246</v>
      </c>
      <c r="H8" s="384" t="s">
        <v>246</v>
      </c>
      <c r="I8" s="384" t="s">
        <v>246</v>
      </c>
      <c r="J8" s="384" t="s">
        <v>246</v>
      </c>
      <c r="K8" s="384" t="s">
        <v>246</v>
      </c>
      <c r="L8" s="384" t="s">
        <v>246</v>
      </c>
      <c r="M8" s="384" t="s">
        <v>246</v>
      </c>
      <c r="N8" s="385" t="s">
        <v>246</v>
      </c>
      <c r="O8" s="385" t="s">
        <v>246</v>
      </c>
      <c r="P8" s="385"/>
      <c r="Q8" s="385" t="s">
        <v>246</v>
      </c>
      <c r="R8" s="384" t="s">
        <v>246</v>
      </c>
      <c r="S8" s="384" t="s">
        <v>246</v>
      </c>
      <c r="T8" s="385"/>
    </row>
    <row r="9" spans="1:20" ht="184.5" customHeight="1">
      <c r="A9" s="382" t="s">
        <v>246</v>
      </c>
      <c r="B9" s="386" t="s">
        <v>269</v>
      </c>
      <c r="C9" s="385" t="s">
        <v>270</v>
      </c>
      <c r="D9" s="385" t="s">
        <v>271</v>
      </c>
      <c r="E9" s="385" t="s">
        <v>272</v>
      </c>
      <c r="F9" s="385" t="s">
        <v>273</v>
      </c>
      <c r="G9" s="385" t="s">
        <v>82</v>
      </c>
      <c r="H9" s="385" t="s">
        <v>274</v>
      </c>
      <c r="I9" s="385" t="s">
        <v>275</v>
      </c>
      <c r="J9" s="385"/>
      <c r="K9" s="385" t="s">
        <v>276</v>
      </c>
      <c r="L9" s="385" t="s">
        <v>277</v>
      </c>
      <c r="M9" s="385" t="s">
        <v>278</v>
      </c>
      <c r="N9" s="385" t="s">
        <v>279</v>
      </c>
      <c r="O9" s="385" t="s">
        <v>279</v>
      </c>
      <c r="P9" s="385" t="s">
        <v>280</v>
      </c>
      <c r="Q9" s="385" t="s">
        <v>280</v>
      </c>
      <c r="R9" s="385" t="s">
        <v>82</v>
      </c>
      <c r="S9" s="385" t="s">
        <v>82</v>
      </c>
      <c r="T9" s="385" t="s">
        <v>82</v>
      </c>
    </row>
    <row r="10" spans="1:20" ht="15.5">
      <c r="A10" s="382" t="s">
        <v>246</v>
      </c>
      <c r="B10" s="386" t="s">
        <v>82</v>
      </c>
      <c r="C10" s="385" t="s">
        <v>246</v>
      </c>
      <c r="D10" s="385" t="s">
        <v>246</v>
      </c>
      <c r="E10" s="385" t="s">
        <v>246</v>
      </c>
      <c r="F10" s="385" t="s">
        <v>246</v>
      </c>
      <c r="G10" s="385" t="s">
        <v>246</v>
      </c>
      <c r="H10" s="385" t="s">
        <v>246</v>
      </c>
      <c r="I10" s="385" t="s">
        <v>82</v>
      </c>
      <c r="J10" s="385" t="s">
        <v>82</v>
      </c>
      <c r="K10" s="385" t="s">
        <v>246</v>
      </c>
      <c r="L10" s="385" t="s">
        <v>246</v>
      </c>
      <c r="M10" s="385" t="s">
        <v>246</v>
      </c>
      <c r="N10" s="385" t="s">
        <v>246</v>
      </c>
      <c r="O10" s="385" t="s">
        <v>246</v>
      </c>
      <c r="P10" s="385" t="s">
        <v>246</v>
      </c>
      <c r="Q10" s="385" t="s">
        <v>246</v>
      </c>
      <c r="R10" s="385" t="s">
        <v>246</v>
      </c>
      <c r="S10" s="385" t="s">
        <v>246</v>
      </c>
      <c r="T10" s="385" t="s">
        <v>246</v>
      </c>
    </row>
    <row r="11" spans="1:20" ht="99" customHeight="1">
      <c r="A11" s="387" t="s">
        <v>246</v>
      </c>
      <c r="B11" s="386" t="s">
        <v>281</v>
      </c>
      <c r="C11" s="385" t="s">
        <v>282</v>
      </c>
      <c r="D11" s="385" t="s">
        <v>282</v>
      </c>
      <c r="E11" s="385" t="s">
        <v>282</v>
      </c>
      <c r="F11" s="385" t="s">
        <v>282</v>
      </c>
      <c r="G11" s="385" t="s">
        <v>282</v>
      </c>
      <c r="H11" s="385" t="s">
        <v>282</v>
      </c>
      <c r="I11" s="385" t="s">
        <v>282</v>
      </c>
      <c r="J11" s="385" t="s">
        <v>282</v>
      </c>
      <c r="K11" s="385" t="s">
        <v>282</v>
      </c>
      <c r="L11" s="385" t="s">
        <v>282</v>
      </c>
      <c r="M11" s="385" t="s">
        <v>282</v>
      </c>
      <c r="N11" s="385" t="s">
        <v>282</v>
      </c>
      <c r="O11" s="385" t="s">
        <v>282</v>
      </c>
      <c r="P11" s="385" t="s">
        <v>282</v>
      </c>
      <c r="Q11" s="385" t="s">
        <v>282</v>
      </c>
      <c r="R11" s="385" t="s">
        <v>282</v>
      </c>
      <c r="S11" s="385" t="s">
        <v>282</v>
      </c>
      <c r="T11" s="385" t="s">
        <v>283</v>
      </c>
    </row>
    <row r="12" spans="1:20" ht="15.5">
      <c r="A12" s="382" t="s">
        <v>246</v>
      </c>
      <c r="B12" s="386" t="s">
        <v>246</v>
      </c>
      <c r="C12" s="385" t="s">
        <v>246</v>
      </c>
      <c r="D12" s="385" t="s">
        <v>246</v>
      </c>
      <c r="E12" s="385" t="s">
        <v>246</v>
      </c>
      <c r="F12" s="385" t="s">
        <v>246</v>
      </c>
      <c r="G12" s="385" t="s">
        <v>246</v>
      </c>
      <c r="H12" s="385" t="s">
        <v>246</v>
      </c>
      <c r="I12" s="385" t="s">
        <v>246</v>
      </c>
      <c r="J12" s="385" t="s">
        <v>246</v>
      </c>
      <c r="K12" s="385" t="s">
        <v>246</v>
      </c>
      <c r="L12" s="385" t="s">
        <v>246</v>
      </c>
      <c r="M12" s="385" t="s">
        <v>246</v>
      </c>
      <c r="N12" s="385" t="s">
        <v>246</v>
      </c>
      <c r="O12" s="385" t="s">
        <v>246</v>
      </c>
      <c r="P12" s="385" t="s">
        <v>246</v>
      </c>
      <c r="Q12" s="385" t="s">
        <v>246</v>
      </c>
      <c r="R12" s="385" t="s">
        <v>246</v>
      </c>
      <c r="S12" s="385" t="s">
        <v>246</v>
      </c>
      <c r="T12" s="385" t="s">
        <v>246</v>
      </c>
    </row>
    <row r="13" spans="1:20" s="281" customFormat="1" ht="186.75" customHeight="1">
      <c r="A13" s="388" t="s">
        <v>246</v>
      </c>
      <c r="B13" s="415" t="s">
        <v>284</v>
      </c>
      <c r="C13" s="385" t="s">
        <v>285</v>
      </c>
      <c r="D13" s="385" t="s">
        <v>286</v>
      </c>
      <c r="E13" s="385" t="s">
        <v>287</v>
      </c>
      <c r="F13" s="385" t="s">
        <v>288</v>
      </c>
      <c r="G13" s="385" t="s">
        <v>289</v>
      </c>
      <c r="H13" s="385" t="s">
        <v>287</v>
      </c>
      <c r="I13" s="385" t="s">
        <v>290</v>
      </c>
      <c r="J13" s="385" t="s">
        <v>291</v>
      </c>
      <c r="K13" s="385" t="s">
        <v>292</v>
      </c>
      <c r="L13" s="385" t="s">
        <v>293</v>
      </c>
      <c r="M13" s="385" t="s">
        <v>294</v>
      </c>
      <c r="N13" s="385" t="s">
        <v>295</v>
      </c>
      <c r="O13" s="385" t="s">
        <v>296</v>
      </c>
      <c r="P13" s="385" t="s">
        <v>297</v>
      </c>
      <c r="Q13" s="385" t="s">
        <v>298</v>
      </c>
      <c r="R13" s="385" t="s">
        <v>299</v>
      </c>
      <c r="S13" s="385" t="s">
        <v>300</v>
      </c>
      <c r="T13" s="385" t="s">
        <v>301</v>
      </c>
    </row>
    <row r="14" spans="1:20" ht="45">
      <c r="A14" s="387" t="s">
        <v>246</v>
      </c>
      <c r="B14" s="386" t="s">
        <v>302</v>
      </c>
      <c r="C14" s="385" t="s">
        <v>303</v>
      </c>
      <c r="D14" s="385" t="s">
        <v>303</v>
      </c>
      <c r="E14" s="385" t="s">
        <v>303</v>
      </c>
      <c r="F14" s="385" t="s">
        <v>303</v>
      </c>
      <c r="G14" s="385" t="s">
        <v>304</v>
      </c>
      <c r="H14" s="385" t="s">
        <v>303</v>
      </c>
      <c r="I14" s="385" t="s">
        <v>303</v>
      </c>
      <c r="J14" s="385" t="s">
        <v>303</v>
      </c>
      <c r="K14" s="385" t="s">
        <v>303</v>
      </c>
      <c r="L14" s="385" t="s">
        <v>303</v>
      </c>
      <c r="M14" s="385" t="s">
        <v>303</v>
      </c>
      <c r="N14" s="385" t="s">
        <v>303</v>
      </c>
      <c r="O14" s="385">
        <v>50</v>
      </c>
      <c r="P14" s="385" t="s">
        <v>303</v>
      </c>
      <c r="Q14" s="385" t="s">
        <v>82</v>
      </c>
      <c r="R14" s="385" t="s">
        <v>304</v>
      </c>
      <c r="S14" s="385" t="s">
        <v>304</v>
      </c>
      <c r="T14" s="385" t="s">
        <v>303</v>
      </c>
    </row>
    <row r="15" spans="1:20" ht="45">
      <c r="A15" s="382" t="s">
        <v>246</v>
      </c>
      <c r="B15" s="386" t="s">
        <v>305</v>
      </c>
      <c r="C15" s="385" t="s">
        <v>303</v>
      </c>
      <c r="D15" s="385" t="s">
        <v>303</v>
      </c>
      <c r="E15" s="385" t="s">
        <v>303</v>
      </c>
      <c r="F15" s="385" t="s">
        <v>303</v>
      </c>
      <c r="G15" s="385" t="s">
        <v>303</v>
      </c>
      <c r="H15" s="385" t="s">
        <v>303</v>
      </c>
      <c r="I15" s="385" t="s">
        <v>303</v>
      </c>
      <c r="J15" s="385" t="s">
        <v>303</v>
      </c>
      <c r="K15" s="385" t="s">
        <v>303</v>
      </c>
      <c r="L15" s="385" t="s">
        <v>303</v>
      </c>
      <c r="M15" s="385" t="s">
        <v>303</v>
      </c>
      <c r="N15" s="385" t="s">
        <v>303</v>
      </c>
      <c r="O15" s="385">
        <v>54</v>
      </c>
      <c r="P15" s="385" t="s">
        <v>303</v>
      </c>
      <c r="Q15" s="385" t="s">
        <v>82</v>
      </c>
      <c r="R15" s="385" t="s">
        <v>303</v>
      </c>
      <c r="S15" s="385">
        <v>54</v>
      </c>
      <c r="T15" s="385" t="s">
        <v>303</v>
      </c>
    </row>
    <row r="16" spans="1:20" ht="45">
      <c r="A16" s="382" t="s">
        <v>246</v>
      </c>
      <c r="B16" s="386" t="s">
        <v>306</v>
      </c>
      <c r="C16" s="385" t="s">
        <v>307</v>
      </c>
      <c r="D16" s="385" t="s">
        <v>307</v>
      </c>
      <c r="E16" s="385" t="s">
        <v>307</v>
      </c>
      <c r="F16" s="385" t="s">
        <v>307</v>
      </c>
      <c r="G16" s="385" t="s">
        <v>307</v>
      </c>
      <c r="H16" s="385" t="s">
        <v>307</v>
      </c>
      <c r="I16" s="385" t="s">
        <v>304</v>
      </c>
      <c r="J16" s="385" t="s">
        <v>304</v>
      </c>
      <c r="K16" s="385" t="s">
        <v>303</v>
      </c>
      <c r="L16" s="385" t="s">
        <v>304</v>
      </c>
      <c r="M16" s="385" t="s">
        <v>307</v>
      </c>
      <c r="N16" s="385" t="s">
        <v>307</v>
      </c>
      <c r="O16" s="385" t="s">
        <v>304</v>
      </c>
      <c r="P16" s="385" t="s">
        <v>303</v>
      </c>
      <c r="Q16" s="385" t="s">
        <v>304</v>
      </c>
      <c r="R16" s="385" t="s">
        <v>307</v>
      </c>
      <c r="S16" s="385" t="s">
        <v>304</v>
      </c>
      <c r="T16" s="385" t="s">
        <v>303</v>
      </c>
    </row>
    <row r="17" spans="1:20" ht="15.5">
      <c r="A17" s="382" t="s">
        <v>246</v>
      </c>
      <c r="B17" s="386" t="s">
        <v>246</v>
      </c>
      <c r="C17" s="385" t="s">
        <v>246</v>
      </c>
      <c r="D17" s="385" t="s">
        <v>246</v>
      </c>
      <c r="E17" s="385" t="s">
        <v>246</v>
      </c>
      <c r="F17" s="389" t="s">
        <v>246</v>
      </c>
      <c r="G17" s="389" t="s">
        <v>246</v>
      </c>
      <c r="H17" s="385" t="s">
        <v>246</v>
      </c>
      <c r="I17" s="385" t="s">
        <v>246</v>
      </c>
      <c r="J17" s="385" t="s">
        <v>246</v>
      </c>
      <c r="K17" s="385" t="s">
        <v>246</v>
      </c>
      <c r="L17" s="385" t="s">
        <v>246</v>
      </c>
      <c r="M17" s="385" t="s">
        <v>246</v>
      </c>
      <c r="N17" s="385" t="s">
        <v>246</v>
      </c>
      <c r="O17" s="385" t="s">
        <v>246</v>
      </c>
      <c r="P17" s="385" t="s">
        <v>246</v>
      </c>
      <c r="Q17" s="385" t="s">
        <v>246</v>
      </c>
      <c r="R17" s="385" t="s">
        <v>246</v>
      </c>
      <c r="S17" s="385" t="s">
        <v>246</v>
      </c>
      <c r="T17" s="385" t="s">
        <v>246</v>
      </c>
    </row>
    <row r="18" spans="1:20" ht="202.15" customHeight="1">
      <c r="A18" s="382" t="s">
        <v>246</v>
      </c>
      <c r="B18" s="386" t="s">
        <v>308</v>
      </c>
      <c r="C18" s="385" t="s">
        <v>309</v>
      </c>
      <c r="D18" s="385" t="s">
        <v>310</v>
      </c>
      <c r="E18" s="385" t="s">
        <v>311</v>
      </c>
      <c r="F18" s="385" t="s">
        <v>312</v>
      </c>
      <c r="G18" s="385" t="s">
        <v>313</v>
      </c>
      <c r="H18" s="385" t="s">
        <v>314</v>
      </c>
      <c r="I18" s="385" t="s">
        <v>315</v>
      </c>
      <c r="J18" s="385" t="s">
        <v>316</v>
      </c>
      <c r="K18" s="385" t="s">
        <v>317</v>
      </c>
      <c r="L18" s="385" t="s">
        <v>75</v>
      </c>
      <c r="M18" s="385" t="s">
        <v>318</v>
      </c>
      <c r="N18" s="385" t="s">
        <v>319</v>
      </c>
      <c r="O18" s="385" t="s">
        <v>319</v>
      </c>
      <c r="P18" s="385" t="s">
        <v>319</v>
      </c>
      <c r="Q18" s="385" t="s">
        <v>319</v>
      </c>
      <c r="R18" s="385" t="s">
        <v>319</v>
      </c>
      <c r="S18" s="385" t="s">
        <v>319</v>
      </c>
      <c r="T18" s="385" t="s">
        <v>320</v>
      </c>
    </row>
    <row r="19" spans="1:20" ht="30">
      <c r="A19" s="382" t="s">
        <v>246</v>
      </c>
      <c r="B19" s="386" t="s">
        <v>321</v>
      </c>
      <c r="C19" s="390" t="s">
        <v>322</v>
      </c>
      <c r="D19" s="390" t="s">
        <v>323</v>
      </c>
      <c r="E19" s="390" t="s">
        <v>323</v>
      </c>
      <c r="F19" s="385" t="s">
        <v>324</v>
      </c>
      <c r="G19" s="390" t="s">
        <v>323</v>
      </c>
      <c r="H19" s="385" t="s">
        <v>324</v>
      </c>
      <c r="I19" s="385" t="s">
        <v>303</v>
      </c>
      <c r="J19" s="385" t="s">
        <v>303</v>
      </c>
      <c r="K19" s="385" t="s">
        <v>304</v>
      </c>
      <c r="L19" s="385" t="s">
        <v>304</v>
      </c>
      <c r="M19" s="385" t="s">
        <v>325</v>
      </c>
      <c r="N19" s="385" t="s">
        <v>325</v>
      </c>
      <c r="O19" s="385" t="s">
        <v>325</v>
      </c>
      <c r="P19" s="385" t="s">
        <v>326</v>
      </c>
      <c r="Q19" s="385" t="s">
        <v>325</v>
      </c>
      <c r="R19" s="390" t="s">
        <v>326</v>
      </c>
      <c r="S19" s="385" t="s">
        <v>327</v>
      </c>
      <c r="T19" s="385" t="s">
        <v>328</v>
      </c>
    </row>
    <row r="20" spans="1:20" ht="30">
      <c r="A20" s="382" t="s">
        <v>246</v>
      </c>
      <c r="B20" s="386" t="s">
        <v>329</v>
      </c>
      <c r="C20" s="390" t="s">
        <v>330</v>
      </c>
      <c r="D20" s="390" t="s">
        <v>331</v>
      </c>
      <c r="E20" s="390" t="s">
        <v>331</v>
      </c>
      <c r="F20" s="385" t="s">
        <v>330</v>
      </c>
      <c r="G20" s="390" t="s">
        <v>331</v>
      </c>
      <c r="H20" s="385" t="s">
        <v>330</v>
      </c>
      <c r="I20" s="385" t="s">
        <v>303</v>
      </c>
      <c r="J20" s="385" t="s">
        <v>303</v>
      </c>
      <c r="K20" s="385" t="s">
        <v>304</v>
      </c>
      <c r="L20" s="385" t="s">
        <v>304</v>
      </c>
      <c r="M20" s="385" t="s">
        <v>331</v>
      </c>
      <c r="N20" s="385" t="s">
        <v>331</v>
      </c>
      <c r="O20" s="385" t="s">
        <v>331</v>
      </c>
      <c r="P20" s="385" t="s">
        <v>331</v>
      </c>
      <c r="Q20" s="385" t="s">
        <v>331</v>
      </c>
      <c r="R20" s="390" t="s">
        <v>331</v>
      </c>
      <c r="S20" s="385" t="s">
        <v>332</v>
      </c>
      <c r="T20" s="385" t="s">
        <v>330</v>
      </c>
    </row>
    <row r="21" spans="1:20" ht="30">
      <c r="A21" s="382" t="s">
        <v>246</v>
      </c>
      <c r="B21" s="386" t="s">
        <v>333</v>
      </c>
      <c r="C21" s="390" t="s">
        <v>334</v>
      </c>
      <c r="D21" s="390" t="s">
        <v>328</v>
      </c>
      <c r="E21" s="390" t="s">
        <v>328</v>
      </c>
      <c r="F21" s="385" t="s">
        <v>334</v>
      </c>
      <c r="G21" s="390" t="s">
        <v>328</v>
      </c>
      <c r="H21" s="385" t="s">
        <v>334</v>
      </c>
      <c r="I21" s="385" t="s">
        <v>303</v>
      </c>
      <c r="J21" s="385" t="s">
        <v>303</v>
      </c>
      <c r="K21" s="385" t="s">
        <v>304</v>
      </c>
      <c r="L21" s="385" t="s">
        <v>304</v>
      </c>
      <c r="M21" s="385" t="s">
        <v>335</v>
      </c>
      <c r="N21" s="385" t="s">
        <v>335</v>
      </c>
      <c r="O21" s="385" t="s">
        <v>335</v>
      </c>
      <c r="P21" s="385" t="s">
        <v>336</v>
      </c>
      <c r="Q21" s="385" t="s">
        <v>335</v>
      </c>
      <c r="R21" s="390" t="s">
        <v>337</v>
      </c>
      <c r="S21" s="385" t="s">
        <v>337</v>
      </c>
      <c r="T21" s="385" t="s">
        <v>338</v>
      </c>
    </row>
    <row r="22" spans="1:20" ht="30">
      <c r="A22" s="382" t="s">
        <v>246</v>
      </c>
      <c r="B22" s="386" t="s">
        <v>339</v>
      </c>
      <c r="C22" s="390" t="s">
        <v>340</v>
      </c>
      <c r="D22" s="390" t="s">
        <v>341</v>
      </c>
      <c r="E22" s="385" t="s">
        <v>303</v>
      </c>
      <c r="F22" s="385" t="s">
        <v>342</v>
      </c>
      <c r="G22" s="385" t="s">
        <v>303</v>
      </c>
      <c r="H22" s="385" t="s">
        <v>303</v>
      </c>
      <c r="I22" s="385" t="s">
        <v>303</v>
      </c>
      <c r="J22" s="385" t="s">
        <v>303</v>
      </c>
      <c r="K22" s="385" t="s">
        <v>304</v>
      </c>
      <c r="L22" s="385" t="s">
        <v>304</v>
      </c>
      <c r="M22" s="385" t="s">
        <v>343</v>
      </c>
      <c r="N22" s="385" t="s">
        <v>343</v>
      </c>
      <c r="O22" s="385" t="s">
        <v>343</v>
      </c>
      <c r="P22" s="385" t="s">
        <v>343</v>
      </c>
      <c r="Q22" s="385" t="s">
        <v>343</v>
      </c>
      <c r="R22" s="390" t="s">
        <v>344</v>
      </c>
      <c r="S22" s="390" t="s">
        <v>345</v>
      </c>
      <c r="T22" s="385" t="s">
        <v>346</v>
      </c>
    </row>
    <row r="23" spans="1:20" ht="30">
      <c r="A23" s="387" t="s">
        <v>246</v>
      </c>
      <c r="B23" s="386" t="s">
        <v>347</v>
      </c>
      <c r="C23" s="385">
        <v>1824</v>
      </c>
      <c r="D23" s="385">
        <v>798</v>
      </c>
      <c r="E23" s="385">
        <v>1334</v>
      </c>
      <c r="F23" s="385">
        <v>1334</v>
      </c>
      <c r="G23" s="385">
        <v>798</v>
      </c>
      <c r="H23" s="385">
        <v>1334</v>
      </c>
      <c r="I23" s="385" t="s">
        <v>303</v>
      </c>
      <c r="J23" s="385">
        <v>992</v>
      </c>
      <c r="K23" s="385" t="s">
        <v>304</v>
      </c>
      <c r="L23" s="385" t="s">
        <v>304</v>
      </c>
      <c r="M23" s="385">
        <v>798</v>
      </c>
      <c r="N23" s="385">
        <v>798</v>
      </c>
      <c r="O23" s="385">
        <v>798</v>
      </c>
      <c r="P23" s="385">
        <v>798</v>
      </c>
      <c r="Q23" s="385">
        <v>798</v>
      </c>
      <c r="R23" s="385">
        <v>798</v>
      </c>
      <c r="S23" s="385">
        <v>798</v>
      </c>
      <c r="T23" s="385">
        <v>572</v>
      </c>
    </row>
    <row r="24" spans="1:20" ht="30">
      <c r="A24" s="382" t="s">
        <v>246</v>
      </c>
      <c r="B24" s="386" t="s">
        <v>348</v>
      </c>
      <c r="C24" s="385" t="s">
        <v>307</v>
      </c>
      <c r="D24" s="385" t="s">
        <v>307</v>
      </c>
      <c r="E24" s="385" t="s">
        <v>307</v>
      </c>
      <c r="F24" s="385" t="s">
        <v>307</v>
      </c>
      <c r="G24" s="385" t="s">
        <v>349</v>
      </c>
      <c r="H24" s="385" t="s">
        <v>307</v>
      </c>
      <c r="I24" s="385" t="s">
        <v>307</v>
      </c>
      <c r="J24" s="385" t="s">
        <v>307</v>
      </c>
      <c r="K24" s="385" t="s">
        <v>304</v>
      </c>
      <c r="L24" s="385" t="s">
        <v>304</v>
      </c>
      <c r="M24" s="385" t="s">
        <v>304</v>
      </c>
      <c r="N24" s="385" t="s">
        <v>349</v>
      </c>
      <c r="O24" s="385" t="s">
        <v>349</v>
      </c>
      <c r="P24" s="385" t="s">
        <v>349</v>
      </c>
      <c r="Q24" s="385" t="s">
        <v>349</v>
      </c>
      <c r="R24" s="385" t="s">
        <v>349</v>
      </c>
      <c r="S24" s="385" t="s">
        <v>349</v>
      </c>
      <c r="T24" s="385" t="s">
        <v>349</v>
      </c>
    </row>
    <row r="25" spans="1:20" ht="30">
      <c r="A25" s="382" t="s">
        <v>246</v>
      </c>
      <c r="B25" s="386" t="s">
        <v>350</v>
      </c>
      <c r="C25" s="385" t="s">
        <v>307</v>
      </c>
      <c r="D25" s="385" t="s">
        <v>307</v>
      </c>
      <c r="E25" s="385" t="s">
        <v>307</v>
      </c>
      <c r="F25" s="385" t="s">
        <v>307</v>
      </c>
      <c r="G25" s="385" t="s">
        <v>307</v>
      </c>
      <c r="H25" s="385" t="s">
        <v>307</v>
      </c>
      <c r="I25" s="385" t="s">
        <v>307</v>
      </c>
      <c r="J25" s="385" t="s">
        <v>307</v>
      </c>
      <c r="K25" s="385" t="s">
        <v>304</v>
      </c>
      <c r="L25" s="385" t="s">
        <v>304</v>
      </c>
      <c r="M25" s="385" t="s">
        <v>307</v>
      </c>
      <c r="N25" s="385" t="s">
        <v>307</v>
      </c>
      <c r="O25" s="385" t="s">
        <v>307</v>
      </c>
      <c r="P25" s="385" t="s">
        <v>307</v>
      </c>
      <c r="Q25" s="385" t="s">
        <v>307</v>
      </c>
      <c r="R25" s="385" t="s">
        <v>307</v>
      </c>
      <c r="S25" s="385" t="s">
        <v>307</v>
      </c>
      <c r="T25" s="385" t="s">
        <v>307</v>
      </c>
    </row>
    <row r="26" spans="1:20" ht="15.5">
      <c r="A26" s="382" t="s">
        <v>246</v>
      </c>
      <c r="B26" s="386" t="s">
        <v>246</v>
      </c>
      <c r="C26" s="385" t="s">
        <v>246</v>
      </c>
      <c r="D26" s="385" t="s">
        <v>246</v>
      </c>
      <c r="E26" s="385" t="s">
        <v>246</v>
      </c>
      <c r="F26" s="385" t="s">
        <v>246</v>
      </c>
      <c r="G26" s="385" t="s">
        <v>246</v>
      </c>
      <c r="H26" s="385" t="s">
        <v>246</v>
      </c>
      <c r="I26" s="385" t="s">
        <v>246</v>
      </c>
      <c r="J26" s="385" t="s">
        <v>246</v>
      </c>
      <c r="K26" s="385" t="s">
        <v>246</v>
      </c>
      <c r="L26" s="385" t="s">
        <v>246</v>
      </c>
      <c r="M26" s="385" t="s">
        <v>246</v>
      </c>
      <c r="N26" s="385" t="s">
        <v>246</v>
      </c>
      <c r="O26" s="385" t="s">
        <v>246</v>
      </c>
      <c r="P26" s="385" t="s">
        <v>246</v>
      </c>
      <c r="Q26" s="385" t="s">
        <v>246</v>
      </c>
      <c r="R26" s="385" t="s">
        <v>246</v>
      </c>
      <c r="S26" s="385" t="s">
        <v>246</v>
      </c>
      <c r="T26" s="385" t="s">
        <v>246</v>
      </c>
    </row>
    <row r="27" spans="1:20" ht="222.4" customHeight="1">
      <c r="A27" s="382" t="s">
        <v>246</v>
      </c>
      <c r="B27" s="386" t="s">
        <v>351</v>
      </c>
      <c r="C27" s="385" t="s">
        <v>352</v>
      </c>
      <c r="D27" s="391" t="s">
        <v>353</v>
      </c>
      <c r="E27" s="391" t="s">
        <v>354</v>
      </c>
      <c r="F27" s="385" t="s">
        <v>355</v>
      </c>
      <c r="G27" s="390" t="s">
        <v>356</v>
      </c>
      <c r="H27" s="391" t="s">
        <v>357</v>
      </c>
      <c r="I27" s="385" t="s">
        <v>358</v>
      </c>
      <c r="J27" s="385" t="s">
        <v>359</v>
      </c>
      <c r="K27" s="385" t="s">
        <v>360</v>
      </c>
      <c r="L27" s="385" t="s">
        <v>361</v>
      </c>
      <c r="M27" s="385" t="s">
        <v>362</v>
      </c>
      <c r="N27" s="385" t="s">
        <v>363</v>
      </c>
      <c r="O27" s="385" t="s">
        <v>364</v>
      </c>
      <c r="P27" s="385" t="s">
        <v>365</v>
      </c>
      <c r="Q27" s="385" t="s">
        <v>366</v>
      </c>
      <c r="R27" s="385" t="s">
        <v>367</v>
      </c>
      <c r="S27" s="385" t="s">
        <v>368</v>
      </c>
      <c r="T27" s="385" t="s">
        <v>369</v>
      </c>
    </row>
    <row r="28" spans="1:20" ht="15.5">
      <c r="A28" s="382" t="s">
        <v>246</v>
      </c>
      <c r="B28" s="386" t="s">
        <v>370</v>
      </c>
      <c r="C28" s="392">
        <v>0.90469999999999995</v>
      </c>
      <c r="D28" s="392">
        <v>0.90869999999999995</v>
      </c>
      <c r="E28" s="392">
        <v>0.90869999999999995</v>
      </c>
      <c r="F28" s="392">
        <v>0.91</v>
      </c>
      <c r="G28" s="392">
        <v>0.91</v>
      </c>
      <c r="H28" s="392">
        <v>0.90200000000000002</v>
      </c>
      <c r="I28" s="392">
        <v>0.90769999999999995</v>
      </c>
      <c r="J28" s="392">
        <v>0.90769999999999995</v>
      </c>
      <c r="K28" s="392">
        <v>0.86450000000000005</v>
      </c>
      <c r="L28" s="392">
        <v>0.86450000000000005</v>
      </c>
      <c r="M28" s="392">
        <v>0.84</v>
      </c>
      <c r="N28" s="392">
        <v>0.84799999999999998</v>
      </c>
      <c r="O28" s="392">
        <v>0.84799999999999998</v>
      </c>
      <c r="P28" s="392">
        <v>0.84840000000000004</v>
      </c>
      <c r="Q28" s="392">
        <v>0.84799999999999998</v>
      </c>
      <c r="R28" s="392">
        <v>0.84299999999999997</v>
      </c>
      <c r="S28" s="392">
        <v>0.82640000000000002</v>
      </c>
      <c r="T28" s="392" t="s">
        <v>82</v>
      </c>
    </row>
    <row r="29" spans="1:20" ht="30">
      <c r="A29" s="382" t="s">
        <v>246</v>
      </c>
      <c r="B29" s="386" t="s">
        <v>371</v>
      </c>
      <c r="C29" s="385" t="s">
        <v>307</v>
      </c>
      <c r="D29" s="385" t="s">
        <v>307</v>
      </c>
      <c r="E29" s="385" t="s">
        <v>307</v>
      </c>
      <c r="F29" s="385" t="s">
        <v>307</v>
      </c>
      <c r="G29" s="385" t="s">
        <v>349</v>
      </c>
      <c r="H29" s="385" t="s">
        <v>307</v>
      </c>
      <c r="I29" s="385" t="s">
        <v>307</v>
      </c>
      <c r="J29" s="385" t="s">
        <v>307</v>
      </c>
      <c r="K29" s="385" t="s">
        <v>349</v>
      </c>
      <c r="L29" s="385" t="s">
        <v>304</v>
      </c>
      <c r="M29" s="385" t="s">
        <v>349</v>
      </c>
      <c r="N29" s="385" t="s">
        <v>349</v>
      </c>
      <c r="O29" s="385" t="s">
        <v>349</v>
      </c>
      <c r="P29" s="385" t="s">
        <v>349</v>
      </c>
      <c r="Q29" s="385" t="s">
        <v>349</v>
      </c>
      <c r="R29" s="385" t="s">
        <v>349</v>
      </c>
      <c r="S29" s="385" t="s">
        <v>349</v>
      </c>
      <c r="T29" s="385" t="s">
        <v>349</v>
      </c>
    </row>
    <row r="30" spans="1:20" ht="30">
      <c r="A30" s="382" t="s">
        <v>246</v>
      </c>
      <c r="B30" s="386" t="s">
        <v>372</v>
      </c>
      <c r="C30" s="385" t="s">
        <v>304</v>
      </c>
      <c r="D30" s="385" t="s">
        <v>304</v>
      </c>
      <c r="E30" s="385" t="s">
        <v>304</v>
      </c>
      <c r="F30" s="385" t="s">
        <v>304</v>
      </c>
      <c r="G30" s="385" t="s">
        <v>304</v>
      </c>
      <c r="H30" s="385" t="s">
        <v>304</v>
      </c>
      <c r="I30" s="385" t="s">
        <v>307</v>
      </c>
      <c r="J30" s="385" t="s">
        <v>307</v>
      </c>
      <c r="K30" s="385" t="s">
        <v>304</v>
      </c>
      <c r="L30" s="385" t="s">
        <v>304</v>
      </c>
      <c r="M30" s="385" t="s">
        <v>304</v>
      </c>
      <c r="N30" s="385" t="s">
        <v>304</v>
      </c>
      <c r="O30" s="385" t="s">
        <v>307</v>
      </c>
      <c r="P30" s="385" t="s">
        <v>304</v>
      </c>
      <c r="Q30" s="385" t="s">
        <v>307</v>
      </c>
      <c r="R30" s="385" t="s">
        <v>304</v>
      </c>
      <c r="S30" s="385" t="s">
        <v>307</v>
      </c>
      <c r="T30" s="385" t="s">
        <v>304</v>
      </c>
    </row>
    <row r="31" spans="1:20" ht="45">
      <c r="A31" s="382" t="s">
        <v>246</v>
      </c>
      <c r="B31" s="386" t="s">
        <v>373</v>
      </c>
      <c r="C31" s="385" t="s">
        <v>307</v>
      </c>
      <c r="D31" s="385" t="s">
        <v>307</v>
      </c>
      <c r="E31" s="385" t="s">
        <v>307</v>
      </c>
      <c r="F31" s="385" t="s">
        <v>307</v>
      </c>
      <c r="G31" s="385" t="s">
        <v>349</v>
      </c>
      <c r="H31" s="385" t="s">
        <v>349</v>
      </c>
      <c r="I31" s="385" t="s">
        <v>349</v>
      </c>
      <c r="J31" s="385" t="s">
        <v>349</v>
      </c>
      <c r="K31" s="385" t="s">
        <v>307</v>
      </c>
      <c r="L31" s="385" t="s">
        <v>307</v>
      </c>
      <c r="M31" s="385" t="s">
        <v>349</v>
      </c>
      <c r="N31" s="385" t="s">
        <v>349</v>
      </c>
      <c r="O31" s="385" t="s">
        <v>349</v>
      </c>
      <c r="P31" s="385" t="s">
        <v>349</v>
      </c>
      <c r="Q31" s="385" t="s">
        <v>349</v>
      </c>
      <c r="R31" s="385" t="s">
        <v>349</v>
      </c>
      <c r="S31" s="385" t="s">
        <v>349</v>
      </c>
      <c r="T31" s="385" t="s">
        <v>349</v>
      </c>
    </row>
    <row r="32" spans="1:20" ht="15.5">
      <c r="A32" s="382" t="s">
        <v>246</v>
      </c>
      <c r="B32" s="386" t="s">
        <v>246</v>
      </c>
      <c r="C32" s="385" t="s">
        <v>246</v>
      </c>
      <c r="D32" s="385" t="s">
        <v>246</v>
      </c>
      <c r="E32" s="385" t="s">
        <v>246</v>
      </c>
      <c r="F32" s="385" t="s">
        <v>246</v>
      </c>
      <c r="G32" s="385" t="s">
        <v>246</v>
      </c>
      <c r="H32" s="385" t="s">
        <v>82</v>
      </c>
      <c r="I32" s="385" t="s">
        <v>246</v>
      </c>
      <c r="J32" s="385" t="s">
        <v>246</v>
      </c>
      <c r="K32" s="385" t="s">
        <v>246</v>
      </c>
      <c r="L32" s="385" t="s">
        <v>246</v>
      </c>
      <c r="M32" s="385" t="s">
        <v>246</v>
      </c>
      <c r="N32" s="385" t="s">
        <v>246</v>
      </c>
      <c r="O32" s="385" t="s">
        <v>246</v>
      </c>
      <c r="P32" s="385" t="s">
        <v>246</v>
      </c>
      <c r="Q32" s="385" t="s">
        <v>246</v>
      </c>
      <c r="R32" s="385" t="s">
        <v>246</v>
      </c>
      <c r="S32" s="385" t="s">
        <v>246</v>
      </c>
      <c r="T32" s="385" t="s">
        <v>246</v>
      </c>
    </row>
    <row r="33" spans="1:20" ht="15.5">
      <c r="A33" s="382" t="s">
        <v>246</v>
      </c>
      <c r="B33" s="386" t="s">
        <v>374</v>
      </c>
      <c r="C33" s="385" t="s">
        <v>246</v>
      </c>
      <c r="D33" s="385" t="s">
        <v>246</v>
      </c>
      <c r="E33" s="385" t="s">
        <v>246</v>
      </c>
      <c r="F33" s="385" t="s">
        <v>246</v>
      </c>
      <c r="G33" s="385" t="s">
        <v>246</v>
      </c>
      <c r="H33" s="385" t="s">
        <v>246</v>
      </c>
      <c r="I33" s="385" t="s">
        <v>246</v>
      </c>
      <c r="J33" s="385" t="s">
        <v>246</v>
      </c>
      <c r="K33" s="385" t="s">
        <v>246</v>
      </c>
      <c r="L33" s="385" t="s">
        <v>246</v>
      </c>
      <c r="M33" s="385" t="s">
        <v>82</v>
      </c>
      <c r="N33" s="385" t="s">
        <v>82</v>
      </c>
      <c r="O33" s="385" t="s">
        <v>82</v>
      </c>
      <c r="P33" s="385" t="s">
        <v>82</v>
      </c>
      <c r="Q33" s="385" t="s">
        <v>82</v>
      </c>
      <c r="R33" s="385" t="s">
        <v>82</v>
      </c>
      <c r="S33" s="385" t="s">
        <v>82</v>
      </c>
      <c r="T33" s="385" t="s">
        <v>82</v>
      </c>
    </row>
    <row r="34" spans="1:20" ht="164.65" customHeight="1">
      <c r="A34" s="382" t="s">
        <v>246</v>
      </c>
      <c r="B34" s="386" t="s">
        <v>375</v>
      </c>
      <c r="C34" s="385" t="s">
        <v>376</v>
      </c>
      <c r="D34" s="385" t="s">
        <v>377</v>
      </c>
      <c r="E34" s="385" t="s">
        <v>378</v>
      </c>
      <c r="F34" s="385" t="s">
        <v>378</v>
      </c>
      <c r="G34" s="385" t="s">
        <v>378</v>
      </c>
      <c r="H34" s="385" t="s">
        <v>378</v>
      </c>
      <c r="I34" s="385" t="s">
        <v>379</v>
      </c>
      <c r="J34" s="385" t="s">
        <v>379</v>
      </c>
      <c r="K34" s="385" t="s">
        <v>380</v>
      </c>
      <c r="L34" s="385" t="s">
        <v>380</v>
      </c>
      <c r="M34" s="385" t="s">
        <v>381</v>
      </c>
      <c r="N34" s="385" t="s">
        <v>380</v>
      </c>
      <c r="O34" s="385" t="s">
        <v>380</v>
      </c>
      <c r="P34" s="385" t="s">
        <v>380</v>
      </c>
      <c r="Q34" s="385" t="s">
        <v>380</v>
      </c>
      <c r="R34" s="385" t="s">
        <v>380</v>
      </c>
      <c r="S34" s="385" t="s">
        <v>380</v>
      </c>
      <c r="T34" s="385" t="s">
        <v>380</v>
      </c>
    </row>
    <row r="35" spans="1:20" ht="30">
      <c r="A35" s="382" t="s">
        <v>246</v>
      </c>
      <c r="B35" s="386" t="s">
        <v>382</v>
      </c>
      <c r="C35" s="385" t="s">
        <v>307</v>
      </c>
      <c r="D35" s="385" t="s">
        <v>307</v>
      </c>
      <c r="E35" s="385" t="s">
        <v>307</v>
      </c>
      <c r="F35" s="385" t="s">
        <v>307</v>
      </c>
      <c r="G35" s="385" t="s">
        <v>349</v>
      </c>
      <c r="H35" s="385" t="s">
        <v>307</v>
      </c>
      <c r="I35" s="385" t="s">
        <v>307</v>
      </c>
      <c r="J35" s="385" t="s">
        <v>349</v>
      </c>
      <c r="K35" s="385" t="s">
        <v>349</v>
      </c>
      <c r="L35" s="385" t="s">
        <v>349</v>
      </c>
      <c r="M35" s="385" t="s">
        <v>349</v>
      </c>
      <c r="N35" s="385" t="s">
        <v>349</v>
      </c>
      <c r="O35" s="385" t="s">
        <v>349</v>
      </c>
      <c r="P35" s="385" t="s">
        <v>349</v>
      </c>
      <c r="Q35" s="385" t="s">
        <v>349</v>
      </c>
      <c r="R35" s="385" t="s">
        <v>349</v>
      </c>
      <c r="S35" s="385" t="s">
        <v>349</v>
      </c>
      <c r="T35" s="385" t="s">
        <v>349</v>
      </c>
    </row>
    <row r="36" spans="1:20" ht="30">
      <c r="A36" s="382" t="s">
        <v>246</v>
      </c>
      <c r="B36" s="386" t="s">
        <v>383</v>
      </c>
      <c r="C36" s="385" t="s">
        <v>307</v>
      </c>
      <c r="D36" s="385" t="s">
        <v>349</v>
      </c>
      <c r="E36" s="385" t="s">
        <v>349</v>
      </c>
      <c r="F36" s="385" t="s">
        <v>307</v>
      </c>
      <c r="G36" s="385" t="s">
        <v>307</v>
      </c>
      <c r="H36" s="385" t="s">
        <v>307</v>
      </c>
      <c r="I36" s="385" t="s">
        <v>307</v>
      </c>
      <c r="J36" s="385" t="s">
        <v>307</v>
      </c>
      <c r="K36" s="385" t="s">
        <v>349</v>
      </c>
      <c r="L36" s="385" t="s">
        <v>349</v>
      </c>
      <c r="M36" s="385" t="s">
        <v>349</v>
      </c>
      <c r="N36" s="385" t="s">
        <v>349</v>
      </c>
      <c r="O36" s="385" t="s">
        <v>349</v>
      </c>
      <c r="P36" s="385" t="s">
        <v>349</v>
      </c>
      <c r="Q36" s="385" t="s">
        <v>349</v>
      </c>
      <c r="R36" s="385" t="s">
        <v>349</v>
      </c>
      <c r="S36" s="385" t="s">
        <v>349</v>
      </c>
      <c r="T36" s="385" t="s">
        <v>349</v>
      </c>
    </row>
    <row r="37" spans="1:20" ht="45">
      <c r="A37" s="382" t="s">
        <v>246</v>
      </c>
      <c r="B37" s="386" t="s">
        <v>384</v>
      </c>
      <c r="C37" s="385" t="s">
        <v>349</v>
      </c>
      <c r="D37" s="385" t="s">
        <v>349</v>
      </c>
      <c r="E37" s="385" t="s">
        <v>349</v>
      </c>
      <c r="F37" s="385" t="s">
        <v>349</v>
      </c>
      <c r="G37" s="385" t="s">
        <v>349</v>
      </c>
      <c r="H37" s="385" t="s">
        <v>349</v>
      </c>
      <c r="I37" s="385" t="s">
        <v>349</v>
      </c>
      <c r="J37" s="385" t="s">
        <v>349</v>
      </c>
      <c r="K37" s="385" t="s">
        <v>307</v>
      </c>
      <c r="L37" s="385" t="s">
        <v>307</v>
      </c>
      <c r="M37" s="385" t="s">
        <v>349</v>
      </c>
      <c r="N37" s="385" t="s">
        <v>349</v>
      </c>
      <c r="O37" s="385" t="s">
        <v>349</v>
      </c>
      <c r="P37" s="385" t="s">
        <v>349</v>
      </c>
      <c r="Q37" s="385" t="s">
        <v>349</v>
      </c>
      <c r="R37" s="385" t="s">
        <v>349</v>
      </c>
      <c r="S37" s="385" t="s">
        <v>349</v>
      </c>
      <c r="T37" s="385" t="s">
        <v>349</v>
      </c>
    </row>
    <row r="38" spans="1:20" ht="30">
      <c r="A38" s="382" t="s">
        <v>246</v>
      </c>
      <c r="B38" s="386" t="s">
        <v>385</v>
      </c>
      <c r="C38" s="385" t="s">
        <v>349</v>
      </c>
      <c r="D38" s="385" t="s">
        <v>349</v>
      </c>
      <c r="E38" s="385" t="s">
        <v>349</v>
      </c>
      <c r="F38" s="385" t="s">
        <v>349</v>
      </c>
      <c r="G38" s="385" t="s">
        <v>349</v>
      </c>
      <c r="H38" s="385" t="s">
        <v>349</v>
      </c>
      <c r="I38" s="385" t="s">
        <v>349</v>
      </c>
      <c r="J38" s="385" t="s">
        <v>349</v>
      </c>
      <c r="K38" s="385" t="s">
        <v>349</v>
      </c>
      <c r="L38" s="385" t="s">
        <v>349</v>
      </c>
      <c r="M38" s="385" t="s">
        <v>349</v>
      </c>
      <c r="N38" s="385" t="s">
        <v>349</v>
      </c>
      <c r="O38" s="385" t="s">
        <v>349</v>
      </c>
      <c r="P38" s="385" t="s">
        <v>349</v>
      </c>
      <c r="Q38" s="385" t="s">
        <v>349</v>
      </c>
      <c r="R38" s="385" t="s">
        <v>349</v>
      </c>
      <c r="S38" s="385" t="s">
        <v>349</v>
      </c>
      <c r="T38" s="385" t="s">
        <v>349</v>
      </c>
    </row>
    <row r="39" spans="1:20" ht="15.5">
      <c r="A39" s="382" t="s">
        <v>246</v>
      </c>
      <c r="B39" s="386" t="s">
        <v>246</v>
      </c>
      <c r="C39" s="385" t="s">
        <v>246</v>
      </c>
      <c r="D39" s="385" t="s">
        <v>246</v>
      </c>
      <c r="E39" s="385" t="s">
        <v>246</v>
      </c>
      <c r="F39" s="385" t="s">
        <v>246</v>
      </c>
      <c r="G39" s="385" t="s">
        <v>246</v>
      </c>
      <c r="H39" s="385" t="s">
        <v>82</v>
      </c>
      <c r="I39" s="385" t="s">
        <v>246</v>
      </c>
      <c r="J39" s="385" t="s">
        <v>246</v>
      </c>
      <c r="K39" s="385" t="s">
        <v>246</v>
      </c>
      <c r="L39" s="385" t="s">
        <v>246</v>
      </c>
      <c r="M39" s="385" t="s">
        <v>246</v>
      </c>
      <c r="N39" s="385" t="s">
        <v>246</v>
      </c>
      <c r="O39" s="385" t="s">
        <v>246</v>
      </c>
      <c r="P39" s="385" t="s">
        <v>246</v>
      </c>
      <c r="Q39" s="385" t="s">
        <v>246</v>
      </c>
      <c r="R39" s="385" t="s">
        <v>246</v>
      </c>
      <c r="S39" s="385" t="s">
        <v>246</v>
      </c>
      <c r="T39" s="385" t="s">
        <v>246</v>
      </c>
    </row>
    <row r="40" spans="1:20" ht="144" customHeight="1">
      <c r="A40" s="382" t="s">
        <v>246</v>
      </c>
      <c r="B40" s="386" t="s">
        <v>168</v>
      </c>
      <c r="C40" s="390" t="s">
        <v>386</v>
      </c>
      <c r="D40" s="385" t="s">
        <v>387</v>
      </c>
      <c r="E40" s="385" t="s">
        <v>388</v>
      </c>
      <c r="F40" s="385" t="s">
        <v>389</v>
      </c>
      <c r="G40" s="385" t="s">
        <v>390</v>
      </c>
      <c r="H40" s="385" t="s">
        <v>391</v>
      </c>
      <c r="I40" s="385" t="s">
        <v>390</v>
      </c>
      <c r="J40" s="385" t="s">
        <v>390</v>
      </c>
      <c r="K40" s="385" t="s">
        <v>392</v>
      </c>
      <c r="L40" s="385" t="s">
        <v>393</v>
      </c>
      <c r="M40" s="385" t="s">
        <v>390</v>
      </c>
      <c r="N40" s="385" t="s">
        <v>390</v>
      </c>
      <c r="O40" s="385" t="s">
        <v>394</v>
      </c>
      <c r="P40" s="385" t="s">
        <v>390</v>
      </c>
      <c r="Q40" s="385" t="s">
        <v>394</v>
      </c>
      <c r="R40" s="385" t="s">
        <v>394</v>
      </c>
      <c r="S40" s="385" t="s">
        <v>395</v>
      </c>
      <c r="T40" s="385" t="s">
        <v>390</v>
      </c>
    </row>
    <row r="41" spans="1:20" ht="195.4" customHeight="1">
      <c r="A41" s="382" t="s">
        <v>246</v>
      </c>
      <c r="B41" s="386" t="s">
        <v>174</v>
      </c>
      <c r="C41" s="390" t="s">
        <v>396</v>
      </c>
      <c r="D41" s="385" t="s">
        <v>397</v>
      </c>
      <c r="E41" s="385" t="s">
        <v>398</v>
      </c>
      <c r="F41" s="385" t="s">
        <v>399</v>
      </c>
      <c r="G41" s="385" t="s">
        <v>400</v>
      </c>
      <c r="H41" s="385" t="s">
        <v>401</v>
      </c>
      <c r="I41" s="385" t="s">
        <v>402</v>
      </c>
      <c r="J41" s="385" t="s">
        <v>402</v>
      </c>
      <c r="K41" s="385" t="s">
        <v>403</v>
      </c>
      <c r="L41" s="385" t="s">
        <v>402</v>
      </c>
      <c r="M41" s="385" t="s">
        <v>402</v>
      </c>
      <c r="N41" s="385" t="s">
        <v>402</v>
      </c>
      <c r="O41" s="385" t="s">
        <v>402</v>
      </c>
      <c r="P41" s="385" t="s">
        <v>402</v>
      </c>
      <c r="Q41" s="385" t="s">
        <v>402</v>
      </c>
      <c r="R41" s="385" t="s">
        <v>404</v>
      </c>
      <c r="S41" s="385" t="s">
        <v>405</v>
      </c>
      <c r="T41" s="385" t="s">
        <v>402</v>
      </c>
    </row>
    <row r="42" spans="1:20" ht="17">
      <c r="A42" s="387" t="s">
        <v>246</v>
      </c>
      <c r="B42" s="386" t="s">
        <v>246</v>
      </c>
      <c r="C42" s="389" t="s">
        <v>246</v>
      </c>
      <c r="D42" s="393" t="s">
        <v>246</v>
      </c>
      <c r="E42" s="385" t="s">
        <v>246</v>
      </c>
      <c r="F42" s="385" t="s">
        <v>246</v>
      </c>
      <c r="G42" s="385" t="s">
        <v>246</v>
      </c>
      <c r="H42" s="385" t="s">
        <v>246</v>
      </c>
      <c r="I42" s="385" t="s">
        <v>246</v>
      </c>
      <c r="J42" s="385" t="s">
        <v>246</v>
      </c>
      <c r="K42" s="385" t="s">
        <v>246</v>
      </c>
      <c r="L42" s="385" t="s">
        <v>246</v>
      </c>
      <c r="M42" s="385" t="s">
        <v>246</v>
      </c>
      <c r="N42" s="385" t="s">
        <v>246</v>
      </c>
      <c r="O42" s="385" t="s">
        <v>246</v>
      </c>
      <c r="P42" s="385" t="s">
        <v>246</v>
      </c>
      <c r="Q42" s="385" t="s">
        <v>246</v>
      </c>
      <c r="R42" s="385" t="s">
        <v>246</v>
      </c>
      <c r="S42" s="385" t="s">
        <v>246</v>
      </c>
      <c r="T42" s="385" t="s">
        <v>246</v>
      </c>
    </row>
    <row r="43" spans="1:20" ht="138.75" customHeight="1">
      <c r="A43" s="382" t="s">
        <v>246</v>
      </c>
      <c r="B43" s="386" t="s">
        <v>406</v>
      </c>
      <c r="C43" s="385" t="s">
        <v>407</v>
      </c>
      <c r="D43" s="385" t="s">
        <v>408</v>
      </c>
      <c r="E43" s="385" t="s">
        <v>408</v>
      </c>
      <c r="F43" s="385" t="s">
        <v>408</v>
      </c>
      <c r="G43" s="385" t="s">
        <v>408</v>
      </c>
      <c r="H43" s="385" t="s">
        <v>408</v>
      </c>
      <c r="I43" s="385" t="s">
        <v>409</v>
      </c>
      <c r="J43" s="385" t="s">
        <v>409</v>
      </c>
      <c r="K43" s="385" t="s">
        <v>408</v>
      </c>
      <c r="L43" s="385" t="s">
        <v>410</v>
      </c>
      <c r="M43" s="385" t="s">
        <v>411</v>
      </c>
      <c r="N43" s="385" t="s">
        <v>412</v>
      </c>
      <c r="O43" s="385" t="s">
        <v>413</v>
      </c>
      <c r="P43" s="385" t="s">
        <v>414</v>
      </c>
      <c r="Q43" s="385" t="s">
        <v>413</v>
      </c>
      <c r="R43" s="385" t="s">
        <v>415</v>
      </c>
      <c r="S43" s="385" t="s">
        <v>413</v>
      </c>
      <c r="T43" s="385" t="s">
        <v>416</v>
      </c>
    </row>
    <row r="44" spans="1:20" ht="60">
      <c r="A44" s="387" t="s">
        <v>246</v>
      </c>
      <c r="B44" s="386" t="s">
        <v>417</v>
      </c>
      <c r="C44" s="385" t="s">
        <v>418</v>
      </c>
      <c r="D44" s="385" t="s">
        <v>419</v>
      </c>
      <c r="E44" s="385" t="s">
        <v>418</v>
      </c>
      <c r="F44" s="385" t="s">
        <v>418</v>
      </c>
      <c r="G44" s="385" t="s">
        <v>418</v>
      </c>
      <c r="H44" s="385" t="s">
        <v>419</v>
      </c>
      <c r="I44" s="385" t="s">
        <v>420</v>
      </c>
      <c r="J44" s="385" t="s">
        <v>420</v>
      </c>
      <c r="K44" s="385" t="s">
        <v>420</v>
      </c>
      <c r="L44" s="385">
        <v>5.4</v>
      </c>
      <c r="M44" s="385">
        <v>5.2</v>
      </c>
      <c r="N44" s="385">
        <v>5.3</v>
      </c>
      <c r="O44" s="385">
        <v>5.4</v>
      </c>
      <c r="P44" s="385">
        <v>5.2</v>
      </c>
      <c r="Q44" s="385">
        <v>5.4</v>
      </c>
      <c r="R44" s="385" t="s">
        <v>418</v>
      </c>
      <c r="S44" s="385" t="s">
        <v>418</v>
      </c>
      <c r="T44" s="385">
        <v>5.2</v>
      </c>
    </row>
    <row r="45" spans="1:20" ht="191.25" customHeight="1">
      <c r="A45" s="382" t="s">
        <v>246</v>
      </c>
      <c r="B45" s="386" t="s">
        <v>421</v>
      </c>
      <c r="C45" s="385" t="s">
        <v>422</v>
      </c>
      <c r="D45" s="385" t="s">
        <v>423</v>
      </c>
      <c r="E45" s="385" t="s">
        <v>423</v>
      </c>
      <c r="F45" s="385" t="s">
        <v>423</v>
      </c>
      <c r="G45" s="385" t="s">
        <v>423</v>
      </c>
      <c r="H45" s="385" t="s">
        <v>423</v>
      </c>
      <c r="I45" s="385" t="s">
        <v>423</v>
      </c>
      <c r="J45" s="385" t="s">
        <v>423</v>
      </c>
      <c r="K45" s="385" t="s">
        <v>423</v>
      </c>
      <c r="L45" s="385" t="s">
        <v>424</v>
      </c>
      <c r="M45" s="385" t="s">
        <v>425</v>
      </c>
      <c r="N45" s="385" t="s">
        <v>425</v>
      </c>
      <c r="O45" s="385" t="s">
        <v>425</v>
      </c>
      <c r="P45" s="385" t="s">
        <v>425</v>
      </c>
      <c r="Q45" s="385" t="s">
        <v>425</v>
      </c>
      <c r="R45" s="385" t="s">
        <v>425</v>
      </c>
      <c r="S45" s="385" t="s">
        <v>425</v>
      </c>
      <c r="T45" s="385" t="s">
        <v>426</v>
      </c>
    </row>
    <row r="46" spans="1:20" ht="75">
      <c r="A46" s="382" t="s">
        <v>246</v>
      </c>
      <c r="B46" s="386" t="s">
        <v>427</v>
      </c>
      <c r="C46" s="385" t="s">
        <v>428</v>
      </c>
      <c r="D46" s="385" t="s">
        <v>429</v>
      </c>
      <c r="E46" s="385" t="s">
        <v>429</v>
      </c>
      <c r="F46" s="385" t="s">
        <v>429</v>
      </c>
      <c r="G46" s="385" t="s">
        <v>429</v>
      </c>
      <c r="H46" s="385" t="s">
        <v>430</v>
      </c>
      <c r="I46" s="385" t="s">
        <v>431</v>
      </c>
      <c r="J46" s="385" t="s">
        <v>431</v>
      </c>
      <c r="K46" s="385" t="s">
        <v>432</v>
      </c>
      <c r="L46" s="385" t="s">
        <v>432</v>
      </c>
      <c r="M46" s="385" t="s">
        <v>433</v>
      </c>
      <c r="N46" s="385" t="s">
        <v>433</v>
      </c>
      <c r="O46" s="385" t="s">
        <v>433</v>
      </c>
      <c r="P46" s="385" t="s">
        <v>433</v>
      </c>
      <c r="Q46" s="385" t="s">
        <v>433</v>
      </c>
      <c r="R46" s="385" t="s">
        <v>433</v>
      </c>
      <c r="S46" s="385" t="s">
        <v>433</v>
      </c>
      <c r="T46" s="385" t="s">
        <v>434</v>
      </c>
    </row>
    <row r="47" spans="1:20" ht="100.5" customHeight="1">
      <c r="A47" s="382" t="s">
        <v>246</v>
      </c>
      <c r="B47" s="386" t="s">
        <v>435</v>
      </c>
      <c r="C47" s="385" t="s">
        <v>436</v>
      </c>
      <c r="D47" s="385" t="s">
        <v>437</v>
      </c>
      <c r="E47" s="385" t="s">
        <v>437</v>
      </c>
      <c r="F47" s="385" t="s">
        <v>438</v>
      </c>
      <c r="G47" s="385" t="s">
        <v>438</v>
      </c>
      <c r="H47" s="385" t="s">
        <v>438</v>
      </c>
      <c r="I47" s="385" t="s">
        <v>437</v>
      </c>
      <c r="J47" s="385" t="s">
        <v>438</v>
      </c>
      <c r="K47" s="385" t="s">
        <v>439</v>
      </c>
      <c r="L47" s="385" t="s">
        <v>439</v>
      </c>
      <c r="M47" s="385" t="s">
        <v>440</v>
      </c>
      <c r="N47" s="385" t="s">
        <v>440</v>
      </c>
      <c r="O47" s="385" t="s">
        <v>440</v>
      </c>
      <c r="P47" s="385" t="s">
        <v>441</v>
      </c>
      <c r="Q47" s="385" t="s">
        <v>440</v>
      </c>
      <c r="R47" s="385" t="s">
        <v>441</v>
      </c>
      <c r="S47" s="385" t="s">
        <v>441</v>
      </c>
      <c r="T47" s="385" t="s">
        <v>440</v>
      </c>
    </row>
    <row r="48" spans="1:20" ht="289.5" customHeight="1">
      <c r="A48" s="382" t="s">
        <v>246</v>
      </c>
      <c r="B48" s="386" t="s">
        <v>181</v>
      </c>
      <c r="C48" s="394" t="s">
        <v>442</v>
      </c>
      <c r="D48" s="394" t="s">
        <v>443</v>
      </c>
      <c r="E48" s="394" t="s">
        <v>443</v>
      </c>
      <c r="F48" s="394" t="s">
        <v>444</v>
      </c>
      <c r="G48" s="395" t="s">
        <v>445</v>
      </c>
      <c r="H48" s="394" t="s">
        <v>446</v>
      </c>
      <c r="I48" s="394" t="s">
        <v>447</v>
      </c>
      <c r="J48" s="394" t="s">
        <v>447</v>
      </c>
      <c r="K48" s="394" t="s">
        <v>448</v>
      </c>
      <c r="L48" s="394" t="s">
        <v>449</v>
      </c>
      <c r="M48" s="396" t="s">
        <v>450</v>
      </c>
      <c r="N48" s="394" t="s">
        <v>451</v>
      </c>
      <c r="O48" s="394" t="s">
        <v>452</v>
      </c>
      <c r="P48" s="394" t="s">
        <v>453</v>
      </c>
      <c r="Q48" s="394" t="s">
        <v>452</v>
      </c>
      <c r="R48" s="394" t="s">
        <v>454</v>
      </c>
      <c r="S48" s="394" t="s">
        <v>455</v>
      </c>
      <c r="T48" s="394" t="s">
        <v>456</v>
      </c>
    </row>
    <row r="49" spans="1:20" ht="45">
      <c r="A49" s="382" t="s">
        <v>246</v>
      </c>
      <c r="B49" s="386" t="s">
        <v>457</v>
      </c>
      <c r="C49" s="385" t="s">
        <v>307</v>
      </c>
      <c r="D49" s="385" t="s">
        <v>307</v>
      </c>
      <c r="E49" s="385" t="s">
        <v>307</v>
      </c>
      <c r="F49" s="385" t="s">
        <v>307</v>
      </c>
      <c r="G49" s="385" t="s">
        <v>307</v>
      </c>
      <c r="H49" s="385" t="s">
        <v>307</v>
      </c>
      <c r="I49" s="385" t="s">
        <v>307</v>
      </c>
      <c r="J49" s="385" t="s">
        <v>307</v>
      </c>
      <c r="K49" s="385" t="s">
        <v>307</v>
      </c>
      <c r="L49" s="385" t="s">
        <v>307</v>
      </c>
      <c r="M49" s="385" t="s">
        <v>307</v>
      </c>
      <c r="N49" s="385" t="s">
        <v>307</v>
      </c>
      <c r="O49" s="385" t="s">
        <v>307</v>
      </c>
      <c r="P49" s="385" t="s">
        <v>307</v>
      </c>
      <c r="Q49" s="385" t="s">
        <v>307</v>
      </c>
      <c r="R49" s="385" t="s">
        <v>307</v>
      </c>
      <c r="S49" s="385" t="s">
        <v>307</v>
      </c>
      <c r="T49" s="385" t="s">
        <v>307</v>
      </c>
    </row>
    <row r="50" spans="1:20" ht="89.65" customHeight="1">
      <c r="A50" s="382" t="s">
        <v>246</v>
      </c>
      <c r="B50" s="386" t="s">
        <v>458</v>
      </c>
      <c r="C50" s="385" t="s">
        <v>459</v>
      </c>
      <c r="D50" s="385" t="s">
        <v>460</v>
      </c>
      <c r="E50" s="385" t="s">
        <v>460</v>
      </c>
      <c r="F50" s="385" t="s">
        <v>460</v>
      </c>
      <c r="G50" s="385" t="s">
        <v>460</v>
      </c>
      <c r="H50" s="385" t="s">
        <v>460</v>
      </c>
      <c r="I50" s="385" t="s">
        <v>460</v>
      </c>
      <c r="J50" s="385" t="s">
        <v>460</v>
      </c>
      <c r="K50" s="385" t="s">
        <v>460</v>
      </c>
      <c r="L50" s="385" t="s">
        <v>460</v>
      </c>
      <c r="M50" s="385" t="s">
        <v>460</v>
      </c>
      <c r="N50" s="385" t="s">
        <v>460</v>
      </c>
      <c r="O50" s="385" t="s">
        <v>460</v>
      </c>
      <c r="P50" s="385" t="s">
        <v>460</v>
      </c>
      <c r="Q50" s="385" t="s">
        <v>460</v>
      </c>
      <c r="R50" s="385" t="s">
        <v>460</v>
      </c>
      <c r="S50" s="385" t="s">
        <v>460</v>
      </c>
      <c r="T50" s="385" t="s">
        <v>460</v>
      </c>
    </row>
    <row r="51" spans="1:20" ht="103.15" customHeight="1">
      <c r="A51" s="382" t="s">
        <v>246</v>
      </c>
      <c r="B51" s="386" t="s">
        <v>194</v>
      </c>
      <c r="C51" s="385" t="s">
        <v>461</v>
      </c>
      <c r="D51" s="385" t="s">
        <v>462</v>
      </c>
      <c r="E51" s="385" t="s">
        <v>462</v>
      </c>
      <c r="F51" s="385" t="s">
        <v>462</v>
      </c>
      <c r="G51" s="385" t="s">
        <v>462</v>
      </c>
      <c r="H51" s="385" t="s">
        <v>462</v>
      </c>
      <c r="I51" s="385" t="s">
        <v>462</v>
      </c>
      <c r="J51" s="385" t="s">
        <v>462</v>
      </c>
      <c r="K51" s="385" t="s">
        <v>462</v>
      </c>
      <c r="L51" s="385" t="s">
        <v>462</v>
      </c>
      <c r="M51" s="385" t="s">
        <v>462</v>
      </c>
      <c r="N51" s="385" t="s">
        <v>462</v>
      </c>
      <c r="O51" s="385" t="s">
        <v>462</v>
      </c>
      <c r="P51" s="385" t="s">
        <v>462</v>
      </c>
      <c r="Q51" s="385" t="s">
        <v>462</v>
      </c>
      <c r="R51" s="385" t="s">
        <v>462</v>
      </c>
      <c r="S51" s="385" t="s">
        <v>462</v>
      </c>
      <c r="T51" s="385" t="s">
        <v>463</v>
      </c>
    </row>
    <row r="52" spans="1:20" ht="15.5">
      <c r="A52" s="382" t="s">
        <v>246</v>
      </c>
      <c r="B52" s="386" t="s">
        <v>464</v>
      </c>
      <c r="C52" s="385">
        <v>3</v>
      </c>
      <c r="D52" s="385">
        <v>3</v>
      </c>
      <c r="E52" s="385">
        <v>3</v>
      </c>
      <c r="F52" s="385">
        <v>3</v>
      </c>
      <c r="G52" s="385">
        <v>3</v>
      </c>
      <c r="H52" s="385">
        <v>3</v>
      </c>
      <c r="I52" s="385">
        <v>3</v>
      </c>
      <c r="J52" s="385">
        <v>3</v>
      </c>
      <c r="K52" s="385">
        <v>3</v>
      </c>
      <c r="L52" s="385">
        <v>3</v>
      </c>
      <c r="M52" s="385">
        <v>3</v>
      </c>
      <c r="N52" s="385">
        <v>3</v>
      </c>
      <c r="O52" s="385">
        <v>3</v>
      </c>
      <c r="P52" s="385">
        <v>3</v>
      </c>
      <c r="Q52" s="385">
        <v>3</v>
      </c>
      <c r="R52" s="385">
        <v>2</v>
      </c>
      <c r="S52" s="385">
        <v>2</v>
      </c>
      <c r="T52" s="385">
        <v>3</v>
      </c>
    </row>
    <row r="53" spans="1:20" ht="100.15" customHeight="1">
      <c r="A53" s="382" t="s">
        <v>246</v>
      </c>
      <c r="B53" s="386" t="s">
        <v>465</v>
      </c>
      <c r="C53" s="385" t="s">
        <v>466</v>
      </c>
      <c r="D53" s="385" t="s">
        <v>466</v>
      </c>
      <c r="E53" s="385" t="s">
        <v>466</v>
      </c>
      <c r="F53" s="385" t="s">
        <v>466</v>
      </c>
      <c r="G53" s="385" t="s">
        <v>467</v>
      </c>
      <c r="H53" s="385" t="s">
        <v>466</v>
      </c>
      <c r="I53" s="385" t="s">
        <v>468</v>
      </c>
      <c r="J53" s="385" t="s">
        <v>466</v>
      </c>
      <c r="K53" s="385" t="s">
        <v>469</v>
      </c>
      <c r="L53" s="385" t="s">
        <v>470</v>
      </c>
      <c r="M53" s="385" t="s">
        <v>469</v>
      </c>
      <c r="N53" s="385" t="s">
        <v>469</v>
      </c>
      <c r="O53" s="385" t="s">
        <v>469</v>
      </c>
      <c r="P53" s="385" t="s">
        <v>471</v>
      </c>
      <c r="Q53" s="385" t="s">
        <v>471</v>
      </c>
      <c r="R53" s="385" t="s">
        <v>467</v>
      </c>
      <c r="S53" s="385" t="s">
        <v>467</v>
      </c>
      <c r="T53" s="385" t="s">
        <v>472</v>
      </c>
    </row>
    <row r="54" spans="1:20" ht="123" customHeight="1">
      <c r="A54" s="382" t="s">
        <v>246</v>
      </c>
      <c r="B54" s="386" t="s">
        <v>473</v>
      </c>
      <c r="C54" s="385" t="s">
        <v>474</v>
      </c>
      <c r="D54" s="385" t="s">
        <v>143</v>
      </c>
      <c r="E54" s="385" t="s">
        <v>143</v>
      </c>
      <c r="F54" s="385" t="s">
        <v>143</v>
      </c>
      <c r="G54" s="385" t="s">
        <v>143</v>
      </c>
      <c r="H54" s="385" t="s">
        <v>143</v>
      </c>
      <c r="I54" s="385" t="s">
        <v>143</v>
      </c>
      <c r="J54" s="385" t="s">
        <v>143</v>
      </c>
      <c r="K54" s="385" t="s">
        <v>143</v>
      </c>
      <c r="L54" s="385" t="s">
        <v>475</v>
      </c>
      <c r="M54" s="385" t="s">
        <v>143</v>
      </c>
      <c r="N54" s="385" t="s">
        <v>143</v>
      </c>
      <c r="O54" s="385" t="s">
        <v>143</v>
      </c>
      <c r="P54" s="385" t="s">
        <v>143</v>
      </c>
      <c r="Q54" s="385" t="s">
        <v>143</v>
      </c>
      <c r="R54" s="385" t="s">
        <v>143</v>
      </c>
      <c r="S54" s="385" t="s">
        <v>143</v>
      </c>
      <c r="T54" s="385" t="s">
        <v>143</v>
      </c>
    </row>
    <row r="55" spans="1:20" ht="67.900000000000006" customHeight="1">
      <c r="A55" s="382" t="s">
        <v>246</v>
      </c>
      <c r="B55" s="386" t="s">
        <v>476</v>
      </c>
      <c r="C55" s="385" t="s">
        <v>477</v>
      </c>
      <c r="D55" s="385" t="s">
        <v>477</v>
      </c>
      <c r="E55" s="385" t="s">
        <v>477</v>
      </c>
      <c r="F55" s="385" t="s">
        <v>477</v>
      </c>
      <c r="G55" s="385" t="s">
        <v>477</v>
      </c>
      <c r="H55" s="385" t="s">
        <v>477</v>
      </c>
      <c r="I55" s="385" t="s">
        <v>478</v>
      </c>
      <c r="J55" s="385" t="s">
        <v>478</v>
      </c>
      <c r="K55" s="385" t="s">
        <v>478</v>
      </c>
      <c r="L55" s="385" t="s">
        <v>478</v>
      </c>
      <c r="M55" s="385" t="s">
        <v>478</v>
      </c>
      <c r="N55" s="385" t="s">
        <v>478</v>
      </c>
      <c r="O55" s="385" t="s">
        <v>478</v>
      </c>
      <c r="P55" s="385" t="s">
        <v>478</v>
      </c>
      <c r="Q55" s="385" t="s">
        <v>478</v>
      </c>
      <c r="R55" s="385" t="s">
        <v>478</v>
      </c>
      <c r="S55" s="385" t="s">
        <v>478</v>
      </c>
      <c r="T55" s="385" t="s">
        <v>478</v>
      </c>
    </row>
    <row r="56" spans="1:20" ht="105">
      <c r="A56" s="382" t="s">
        <v>246</v>
      </c>
      <c r="B56" s="386" t="s">
        <v>234</v>
      </c>
      <c r="C56" s="385" t="s">
        <v>479</v>
      </c>
      <c r="D56" s="385" t="s">
        <v>479</v>
      </c>
      <c r="E56" s="385" t="s">
        <v>479</v>
      </c>
      <c r="F56" s="385" t="s">
        <v>479</v>
      </c>
      <c r="G56" s="385" t="s">
        <v>479</v>
      </c>
      <c r="H56" s="385" t="s">
        <v>479</v>
      </c>
      <c r="I56" s="385" t="s">
        <v>479</v>
      </c>
      <c r="J56" s="385" t="s">
        <v>479</v>
      </c>
      <c r="K56" s="385" t="s">
        <v>479</v>
      </c>
      <c r="L56" s="385" t="s">
        <v>479</v>
      </c>
      <c r="M56" s="385" t="s">
        <v>479</v>
      </c>
      <c r="N56" s="385" t="s">
        <v>479</v>
      </c>
      <c r="O56" s="385" t="s">
        <v>479</v>
      </c>
      <c r="P56" s="385" t="s">
        <v>479</v>
      </c>
      <c r="Q56" s="385" t="s">
        <v>479</v>
      </c>
      <c r="R56" s="385" t="s">
        <v>479</v>
      </c>
      <c r="S56" s="385" t="s">
        <v>479</v>
      </c>
      <c r="T56" s="385" t="s">
        <v>479</v>
      </c>
    </row>
    <row r="57" spans="1:20" ht="30">
      <c r="A57" s="382" t="s">
        <v>246</v>
      </c>
      <c r="B57" s="386" t="s">
        <v>480</v>
      </c>
      <c r="C57" s="397" t="s">
        <v>307</v>
      </c>
      <c r="D57" s="385" t="s">
        <v>349</v>
      </c>
      <c r="E57" s="385" t="s">
        <v>349</v>
      </c>
      <c r="F57" s="385" t="s">
        <v>349</v>
      </c>
      <c r="G57" s="385" t="s">
        <v>349</v>
      </c>
      <c r="H57" s="385" t="s">
        <v>349</v>
      </c>
      <c r="I57" s="385" t="s">
        <v>349</v>
      </c>
      <c r="J57" s="385" t="s">
        <v>349</v>
      </c>
      <c r="K57" s="385" t="s">
        <v>349</v>
      </c>
      <c r="L57" s="385" t="s">
        <v>349</v>
      </c>
      <c r="M57" s="385" t="s">
        <v>349</v>
      </c>
      <c r="N57" s="385" t="s">
        <v>349</v>
      </c>
      <c r="O57" s="385" t="s">
        <v>349</v>
      </c>
      <c r="P57" s="385" t="s">
        <v>349</v>
      </c>
      <c r="Q57" s="385" t="s">
        <v>349</v>
      </c>
      <c r="R57" s="385" t="s">
        <v>349</v>
      </c>
      <c r="S57" s="385" t="s">
        <v>349</v>
      </c>
      <c r="T57" s="385" t="s">
        <v>349</v>
      </c>
    </row>
    <row r="58" spans="1:20" ht="15.5">
      <c r="A58" s="382" t="s">
        <v>246</v>
      </c>
      <c r="B58" s="386" t="s">
        <v>246</v>
      </c>
      <c r="C58" s="397" t="s">
        <v>246</v>
      </c>
      <c r="D58" s="385" t="s">
        <v>246</v>
      </c>
      <c r="E58" s="385" t="s">
        <v>246</v>
      </c>
      <c r="F58" s="385" t="s">
        <v>246</v>
      </c>
      <c r="G58" s="385" t="s">
        <v>246</v>
      </c>
      <c r="H58" s="385" t="s">
        <v>246</v>
      </c>
      <c r="I58" s="385" t="s">
        <v>246</v>
      </c>
      <c r="J58" s="385" t="s">
        <v>246</v>
      </c>
      <c r="K58" s="385" t="s">
        <v>246</v>
      </c>
      <c r="L58" s="385" t="s">
        <v>246</v>
      </c>
      <c r="M58" s="385" t="s">
        <v>246</v>
      </c>
      <c r="N58" s="385" t="s">
        <v>246</v>
      </c>
      <c r="O58" s="385" t="s">
        <v>246</v>
      </c>
      <c r="P58" s="385" t="s">
        <v>246</v>
      </c>
      <c r="Q58" s="385" t="s">
        <v>246</v>
      </c>
      <c r="R58" s="385" t="s">
        <v>246</v>
      </c>
      <c r="S58" s="385" t="s">
        <v>246</v>
      </c>
      <c r="T58" s="385" t="s">
        <v>246</v>
      </c>
    </row>
    <row r="59" spans="1:20" ht="151.15" customHeight="1">
      <c r="A59" s="382" t="s">
        <v>246</v>
      </c>
      <c r="B59" s="386" t="s">
        <v>481</v>
      </c>
      <c r="C59" s="385" t="s">
        <v>482</v>
      </c>
      <c r="D59" s="385" t="s">
        <v>483</v>
      </c>
      <c r="E59" s="385" t="s">
        <v>484</v>
      </c>
      <c r="F59" s="385" t="s">
        <v>485</v>
      </c>
      <c r="G59" s="385" t="s">
        <v>486</v>
      </c>
      <c r="H59" s="385" t="s">
        <v>485</v>
      </c>
      <c r="I59" s="385" t="s">
        <v>487</v>
      </c>
      <c r="J59" s="385" t="s">
        <v>487</v>
      </c>
      <c r="K59" s="385" t="s">
        <v>488</v>
      </c>
      <c r="L59" s="385" t="s">
        <v>489</v>
      </c>
      <c r="M59" s="385" t="s">
        <v>488</v>
      </c>
      <c r="N59" s="385" t="s">
        <v>490</v>
      </c>
      <c r="O59" s="385" t="s">
        <v>491</v>
      </c>
      <c r="P59" s="385" t="s">
        <v>490</v>
      </c>
      <c r="Q59" s="385" t="s">
        <v>491</v>
      </c>
      <c r="R59" s="385" t="s">
        <v>492</v>
      </c>
      <c r="S59" s="385" t="s">
        <v>492</v>
      </c>
      <c r="T59" s="385" t="s">
        <v>493</v>
      </c>
    </row>
    <row r="60" spans="1:20" ht="151.9" customHeight="1">
      <c r="A60" s="382" t="s">
        <v>246</v>
      </c>
      <c r="B60" s="386" t="s">
        <v>494</v>
      </c>
      <c r="C60" s="385" t="s">
        <v>495</v>
      </c>
      <c r="D60" s="391" t="s">
        <v>496</v>
      </c>
      <c r="E60" s="391" t="s">
        <v>497</v>
      </c>
      <c r="F60" s="385" t="s">
        <v>498</v>
      </c>
      <c r="G60" s="390" t="s">
        <v>499</v>
      </c>
      <c r="H60" s="391" t="s">
        <v>500</v>
      </c>
      <c r="I60" s="385" t="s">
        <v>501</v>
      </c>
      <c r="J60" s="385" t="s">
        <v>502</v>
      </c>
      <c r="K60" s="385" t="s">
        <v>503</v>
      </c>
      <c r="L60" s="385" t="s">
        <v>504</v>
      </c>
      <c r="M60" s="385" t="s">
        <v>505</v>
      </c>
      <c r="N60" s="385" t="s">
        <v>506</v>
      </c>
      <c r="O60" s="385" t="s">
        <v>506</v>
      </c>
      <c r="P60" s="385" t="s">
        <v>506</v>
      </c>
      <c r="Q60" s="385" t="s">
        <v>506</v>
      </c>
      <c r="R60" s="385" t="s">
        <v>507</v>
      </c>
      <c r="S60" s="385" t="s">
        <v>508</v>
      </c>
      <c r="T60" s="385" t="s">
        <v>303</v>
      </c>
    </row>
    <row r="61" spans="1:20" ht="105">
      <c r="A61" s="382" t="s">
        <v>246</v>
      </c>
      <c r="B61" s="386" t="s">
        <v>223</v>
      </c>
      <c r="C61" s="385" t="s">
        <v>509</v>
      </c>
      <c r="D61" s="385" t="s">
        <v>510</v>
      </c>
      <c r="E61" s="385" t="s">
        <v>511</v>
      </c>
      <c r="F61" s="385" t="s">
        <v>512</v>
      </c>
      <c r="G61" s="385" t="s">
        <v>513</v>
      </c>
      <c r="H61" s="385" t="s">
        <v>514</v>
      </c>
      <c r="I61" s="385" t="s">
        <v>513</v>
      </c>
      <c r="J61" s="385" t="s">
        <v>513</v>
      </c>
      <c r="K61" s="385" t="s">
        <v>515</v>
      </c>
      <c r="L61" s="385" t="s">
        <v>515</v>
      </c>
      <c r="M61" s="385" t="s">
        <v>516</v>
      </c>
      <c r="N61" s="385" t="s">
        <v>517</v>
      </c>
      <c r="O61" s="385" t="s">
        <v>518</v>
      </c>
      <c r="P61" s="385" t="s">
        <v>518</v>
      </c>
      <c r="Q61" s="385" t="s">
        <v>518</v>
      </c>
      <c r="R61" s="385" t="s">
        <v>513</v>
      </c>
      <c r="S61" s="385" t="s">
        <v>519</v>
      </c>
      <c r="T61" s="385" t="s">
        <v>303</v>
      </c>
    </row>
    <row r="62" spans="1:20" ht="15.5">
      <c r="A62" s="382" t="s">
        <v>246</v>
      </c>
      <c r="B62" s="386" t="s">
        <v>246</v>
      </c>
      <c r="C62" s="385" t="s">
        <v>246</v>
      </c>
      <c r="D62" s="385" t="s">
        <v>246</v>
      </c>
      <c r="E62" s="385" t="s">
        <v>246</v>
      </c>
      <c r="F62" s="385" t="s">
        <v>246</v>
      </c>
      <c r="G62" s="385" t="s">
        <v>246</v>
      </c>
      <c r="H62" s="385" t="s">
        <v>246</v>
      </c>
      <c r="I62" s="385" t="s">
        <v>246</v>
      </c>
      <c r="J62" s="385" t="s">
        <v>246</v>
      </c>
      <c r="K62" s="385" t="s">
        <v>246</v>
      </c>
      <c r="L62" s="385" t="s">
        <v>246</v>
      </c>
      <c r="M62" s="385" t="s">
        <v>246</v>
      </c>
      <c r="N62" s="385" t="s">
        <v>246</v>
      </c>
      <c r="O62" s="385" t="s">
        <v>246</v>
      </c>
      <c r="P62" s="385"/>
      <c r="Q62" s="385" t="s">
        <v>246</v>
      </c>
      <c r="R62" s="385" t="s">
        <v>246</v>
      </c>
      <c r="S62" s="385" t="s">
        <v>246</v>
      </c>
      <c r="T62" s="385" t="s">
        <v>82</v>
      </c>
    </row>
    <row r="63" spans="1:20" ht="15.5">
      <c r="A63" s="382" t="s">
        <v>246</v>
      </c>
      <c r="B63" s="398" t="s">
        <v>246</v>
      </c>
      <c r="C63" s="385" t="s">
        <v>246</v>
      </c>
      <c r="D63" s="385" t="s">
        <v>246</v>
      </c>
      <c r="E63" s="385" t="s">
        <v>246</v>
      </c>
      <c r="F63" s="385" t="s">
        <v>246</v>
      </c>
      <c r="G63" s="385" t="s">
        <v>246</v>
      </c>
      <c r="H63" s="385" t="s">
        <v>246</v>
      </c>
      <c r="I63" s="385" t="s">
        <v>246</v>
      </c>
      <c r="J63" s="385" t="s">
        <v>246</v>
      </c>
      <c r="K63" s="385" t="s">
        <v>246</v>
      </c>
      <c r="L63" s="385" t="s">
        <v>246</v>
      </c>
      <c r="M63" s="385" t="s">
        <v>246</v>
      </c>
      <c r="N63" s="385" t="s">
        <v>246</v>
      </c>
      <c r="O63" s="385" t="s">
        <v>246</v>
      </c>
      <c r="P63" s="385"/>
      <c r="Q63" s="385" t="s">
        <v>246</v>
      </c>
      <c r="R63" s="385" t="s">
        <v>246</v>
      </c>
      <c r="S63" s="385" t="s">
        <v>246</v>
      </c>
      <c r="T63" s="385"/>
    </row>
    <row r="64" spans="1:20" ht="15.5">
      <c r="A64" s="382" t="s">
        <v>246</v>
      </c>
      <c r="B64" s="386" t="s">
        <v>246</v>
      </c>
      <c r="C64" s="385" t="s">
        <v>246</v>
      </c>
      <c r="D64" s="385" t="s">
        <v>246</v>
      </c>
      <c r="E64" s="385" t="s">
        <v>246</v>
      </c>
      <c r="F64" s="385" t="s">
        <v>246</v>
      </c>
      <c r="G64" s="385" t="s">
        <v>246</v>
      </c>
      <c r="H64" s="385" t="s">
        <v>246</v>
      </c>
      <c r="I64" s="389" t="s">
        <v>82</v>
      </c>
      <c r="J64" s="389" t="s">
        <v>82</v>
      </c>
      <c r="K64" s="389" t="s">
        <v>82</v>
      </c>
      <c r="L64" s="389" t="s">
        <v>82</v>
      </c>
      <c r="M64" s="385" t="s">
        <v>246</v>
      </c>
      <c r="N64" s="385" t="s">
        <v>246</v>
      </c>
      <c r="O64" s="385" t="s">
        <v>246</v>
      </c>
      <c r="P64" s="385"/>
      <c r="Q64" s="385" t="s">
        <v>246</v>
      </c>
      <c r="R64" s="385" t="s">
        <v>246</v>
      </c>
      <c r="S64" s="385" t="s">
        <v>246</v>
      </c>
      <c r="T64" s="385"/>
    </row>
    <row r="65" spans="1:23" ht="15.5">
      <c r="A65" s="382" t="s">
        <v>246</v>
      </c>
      <c r="B65" s="399" t="s">
        <v>246</v>
      </c>
      <c r="C65" s="385" t="s">
        <v>246</v>
      </c>
      <c r="D65" s="389" t="s">
        <v>246</v>
      </c>
      <c r="E65" s="389" t="s">
        <v>246</v>
      </c>
      <c r="F65" s="389" t="s">
        <v>246</v>
      </c>
      <c r="G65" s="389" t="s">
        <v>246</v>
      </c>
      <c r="H65" s="389" t="s">
        <v>246</v>
      </c>
      <c r="I65" s="389" t="s">
        <v>246</v>
      </c>
      <c r="J65" s="389" t="s">
        <v>246</v>
      </c>
      <c r="K65" s="389" t="s">
        <v>246</v>
      </c>
      <c r="L65" s="389" t="s">
        <v>246</v>
      </c>
      <c r="M65" s="389" t="s">
        <v>246</v>
      </c>
      <c r="N65" s="389" t="s">
        <v>246</v>
      </c>
      <c r="O65" s="389" t="s">
        <v>246</v>
      </c>
      <c r="P65" s="389"/>
      <c r="Q65" s="389" t="s">
        <v>246</v>
      </c>
      <c r="R65" s="389" t="s">
        <v>246</v>
      </c>
      <c r="S65" s="389" t="s">
        <v>246</v>
      </c>
      <c r="T65" s="389"/>
    </row>
    <row r="66" spans="1:23" ht="15.5">
      <c r="A66" s="382" t="s">
        <v>246</v>
      </c>
      <c r="B66" s="400" t="s">
        <v>246</v>
      </c>
      <c r="C66" s="401" t="s">
        <v>246</v>
      </c>
      <c r="D66" s="401" t="s">
        <v>82</v>
      </c>
      <c r="E66" s="401" t="s">
        <v>246</v>
      </c>
      <c r="F66" s="401" t="s">
        <v>246</v>
      </c>
      <c r="G66" s="401" t="s">
        <v>246</v>
      </c>
      <c r="H66" s="401" t="s">
        <v>246</v>
      </c>
      <c r="I66" s="401" t="s">
        <v>246</v>
      </c>
      <c r="J66" s="401" t="s">
        <v>246</v>
      </c>
      <c r="K66" s="401" t="s">
        <v>246</v>
      </c>
      <c r="L66" s="401" t="s">
        <v>246</v>
      </c>
      <c r="M66" s="401" t="s">
        <v>246</v>
      </c>
      <c r="N66" s="401" t="s">
        <v>246</v>
      </c>
      <c r="O66" s="401" t="s">
        <v>246</v>
      </c>
      <c r="P66" s="401"/>
      <c r="Q66" s="401" t="s">
        <v>246</v>
      </c>
      <c r="R66" s="401" t="s">
        <v>246</v>
      </c>
      <c r="S66" s="401" t="s">
        <v>246</v>
      </c>
      <c r="T66" s="401"/>
    </row>
    <row r="67" spans="1:23" ht="15.5">
      <c r="A67" s="382" t="s">
        <v>246</v>
      </c>
      <c r="B67" s="399" t="s">
        <v>520</v>
      </c>
      <c r="C67" s="402" t="s">
        <v>521</v>
      </c>
      <c r="D67" s="402" t="s">
        <v>522</v>
      </c>
      <c r="E67" s="402" t="s">
        <v>523</v>
      </c>
      <c r="F67" s="403" t="s">
        <v>524</v>
      </c>
      <c r="G67" s="403" t="s">
        <v>246</v>
      </c>
      <c r="H67" s="402" t="s">
        <v>524</v>
      </c>
      <c r="I67" s="402" t="s">
        <v>246</v>
      </c>
      <c r="J67" s="402" t="s">
        <v>246</v>
      </c>
      <c r="K67" s="402" t="s">
        <v>525</v>
      </c>
      <c r="L67" s="402" t="s">
        <v>246</v>
      </c>
      <c r="M67" s="402" t="s">
        <v>246</v>
      </c>
      <c r="N67" s="402" t="s">
        <v>522</v>
      </c>
      <c r="O67" s="402" t="s">
        <v>522</v>
      </c>
      <c r="P67" s="402">
        <v>46097</v>
      </c>
      <c r="Q67" s="402" t="s">
        <v>82</v>
      </c>
      <c r="R67" s="402" t="s">
        <v>82</v>
      </c>
      <c r="S67" s="402" t="s">
        <v>82</v>
      </c>
      <c r="T67" s="402" t="s">
        <v>82</v>
      </c>
    </row>
    <row r="68" spans="1:23" ht="15.5">
      <c r="A68" s="382" t="s">
        <v>246</v>
      </c>
      <c r="B68" s="399" t="s">
        <v>526</v>
      </c>
      <c r="C68" s="402"/>
      <c r="D68" s="402">
        <v>46059</v>
      </c>
      <c r="E68" s="402">
        <v>46112</v>
      </c>
      <c r="F68" s="403">
        <v>46120</v>
      </c>
      <c r="G68" s="403">
        <v>46083</v>
      </c>
      <c r="H68" s="402">
        <v>46120</v>
      </c>
      <c r="I68" s="402" t="s">
        <v>527</v>
      </c>
      <c r="J68" s="402">
        <v>46178</v>
      </c>
      <c r="K68" s="402" t="s">
        <v>528</v>
      </c>
      <c r="L68" s="404" t="s">
        <v>529</v>
      </c>
      <c r="M68" s="402">
        <v>46121</v>
      </c>
      <c r="N68" s="402">
        <v>46121</v>
      </c>
      <c r="O68" s="402">
        <v>46120</v>
      </c>
      <c r="P68" s="402">
        <v>46108</v>
      </c>
      <c r="Q68" s="402">
        <v>46120</v>
      </c>
      <c r="R68" s="402">
        <v>46148</v>
      </c>
      <c r="S68" s="402">
        <v>46014</v>
      </c>
      <c r="T68" s="402" t="s">
        <v>530</v>
      </c>
    </row>
    <row r="69" spans="1:23" ht="15.5">
      <c r="A69" s="382" t="s">
        <v>246</v>
      </c>
      <c r="B69" s="399" t="s">
        <v>531</v>
      </c>
      <c r="C69" s="389" t="s">
        <v>82</v>
      </c>
      <c r="D69" s="389" t="s">
        <v>246</v>
      </c>
      <c r="E69" s="389" t="s">
        <v>246</v>
      </c>
      <c r="F69" s="389" t="s">
        <v>246</v>
      </c>
      <c r="G69" s="389" t="s">
        <v>246</v>
      </c>
      <c r="H69" s="389" t="s">
        <v>82</v>
      </c>
      <c r="I69" s="389" t="s">
        <v>246</v>
      </c>
      <c r="J69" s="389" t="s">
        <v>246</v>
      </c>
      <c r="K69" s="389" t="s">
        <v>246</v>
      </c>
      <c r="L69" s="404" t="s">
        <v>82</v>
      </c>
      <c r="M69" s="404"/>
      <c r="N69" s="389" t="s">
        <v>246</v>
      </c>
      <c r="O69" s="389" t="s">
        <v>246</v>
      </c>
      <c r="P69" s="389"/>
      <c r="Q69" s="389" t="s">
        <v>246</v>
      </c>
      <c r="R69" s="389" t="s">
        <v>246</v>
      </c>
      <c r="S69" s="389" t="s">
        <v>82</v>
      </c>
      <c r="T69" s="389"/>
    </row>
    <row r="70" spans="1:23" ht="15.5">
      <c r="A70" s="382" t="s">
        <v>246</v>
      </c>
      <c r="B70" s="399" t="s">
        <v>532</v>
      </c>
      <c r="C70" s="389" t="s">
        <v>18</v>
      </c>
      <c r="D70" s="389" t="s">
        <v>49</v>
      </c>
      <c r="E70" s="389" t="s">
        <v>56</v>
      </c>
      <c r="F70" s="389" t="s">
        <v>33</v>
      </c>
      <c r="G70" s="389" t="s">
        <v>41</v>
      </c>
      <c r="H70" s="389" t="s">
        <v>27</v>
      </c>
      <c r="I70" s="389" t="s">
        <v>533</v>
      </c>
      <c r="J70" s="389" t="s">
        <v>533</v>
      </c>
      <c r="K70" s="389" t="s">
        <v>49</v>
      </c>
      <c r="L70" s="389" t="s">
        <v>76</v>
      </c>
      <c r="M70" s="389" t="s">
        <v>56</v>
      </c>
      <c r="N70" s="389" t="s">
        <v>41</v>
      </c>
      <c r="O70" s="389" t="s">
        <v>89</v>
      </c>
      <c r="P70" s="389" t="s">
        <v>76</v>
      </c>
      <c r="Q70" s="389" t="s">
        <v>89</v>
      </c>
      <c r="R70" s="389" t="s">
        <v>18</v>
      </c>
      <c r="S70" s="389" t="s">
        <v>89</v>
      </c>
      <c r="T70" s="389" t="s">
        <v>18</v>
      </c>
    </row>
    <row r="71" spans="1:23" ht="15.5">
      <c r="A71" s="405" t="s">
        <v>246</v>
      </c>
      <c r="B71" s="406" t="s">
        <v>246</v>
      </c>
      <c r="C71" s="407" t="s">
        <v>246</v>
      </c>
      <c r="D71" s="407" t="s">
        <v>246</v>
      </c>
      <c r="E71" s="407" t="s">
        <v>246</v>
      </c>
      <c r="F71" s="389" t="s">
        <v>82</v>
      </c>
      <c r="G71" s="389"/>
      <c r="H71" s="407" t="s">
        <v>246</v>
      </c>
      <c r="I71" s="407" t="s">
        <v>246</v>
      </c>
      <c r="J71" s="407" t="s">
        <v>246</v>
      </c>
      <c r="K71" s="407" t="s">
        <v>246</v>
      </c>
      <c r="L71" s="407" t="s">
        <v>246</v>
      </c>
      <c r="M71" s="407" t="s">
        <v>246</v>
      </c>
      <c r="N71" s="407" t="s">
        <v>246</v>
      </c>
      <c r="O71" s="407" t="s">
        <v>246</v>
      </c>
      <c r="P71" s="407"/>
      <c r="Q71" s="407"/>
      <c r="R71" s="407" t="s">
        <v>246</v>
      </c>
      <c r="S71" s="407" t="s">
        <v>246</v>
      </c>
      <c r="T71" s="407"/>
    </row>
    <row r="72" spans="1:23" s="80" customFormat="1">
      <c r="A72" s="382" t="s">
        <v>534</v>
      </c>
      <c r="B72" s="381" t="s">
        <v>535</v>
      </c>
      <c r="C72" s="442" t="s">
        <v>536</v>
      </c>
      <c r="D72" s="443" t="s">
        <v>537</v>
      </c>
      <c r="E72" s="444" t="s">
        <v>538</v>
      </c>
      <c r="F72" s="444" t="s">
        <v>536</v>
      </c>
      <c r="G72" s="444" t="s">
        <v>539</v>
      </c>
      <c r="H72" s="444" t="s">
        <v>536</v>
      </c>
      <c r="I72" s="445" t="s">
        <v>540</v>
      </c>
      <c r="J72" s="444" t="s">
        <v>541</v>
      </c>
      <c r="K72" s="445" t="s">
        <v>540</v>
      </c>
      <c r="L72" s="445" t="s">
        <v>540</v>
      </c>
      <c r="M72" s="443" t="s">
        <v>542</v>
      </c>
      <c r="N72" s="443" t="s">
        <v>542</v>
      </c>
      <c r="O72" s="446" t="s">
        <v>543</v>
      </c>
      <c r="P72" s="446" t="s">
        <v>544</v>
      </c>
      <c r="Q72" s="451" t="s">
        <v>545</v>
      </c>
      <c r="R72" s="452" t="s">
        <v>546</v>
      </c>
      <c r="S72" s="446" t="s">
        <v>547</v>
      </c>
      <c r="T72" s="443" t="s">
        <v>548</v>
      </c>
      <c r="U72" s="447"/>
      <c r="V72" s="447"/>
      <c r="W72" s="447"/>
    </row>
    <row r="73" spans="1:23" s="80" customFormat="1" ht="27">
      <c r="A73" s="382" t="s">
        <v>534</v>
      </c>
      <c r="B73" s="408" t="s">
        <v>549</v>
      </c>
      <c r="C73" s="442" t="s">
        <v>550</v>
      </c>
      <c r="D73" s="448" t="s">
        <v>551</v>
      </c>
      <c r="E73" s="444" t="s">
        <v>552</v>
      </c>
      <c r="F73" s="444" t="s">
        <v>553</v>
      </c>
      <c r="G73" s="444" t="s">
        <v>554</v>
      </c>
      <c r="H73" s="444" t="s">
        <v>553</v>
      </c>
      <c r="I73" s="445" t="s">
        <v>540</v>
      </c>
      <c r="J73" s="444" t="s">
        <v>555</v>
      </c>
      <c r="K73" s="445" t="s">
        <v>540</v>
      </c>
      <c r="L73" s="445" t="s">
        <v>540</v>
      </c>
      <c r="M73" s="448" t="s">
        <v>551</v>
      </c>
      <c r="N73" s="448" t="s">
        <v>551</v>
      </c>
      <c r="O73" s="448" t="s">
        <v>551</v>
      </c>
      <c r="P73" s="448" t="s">
        <v>551</v>
      </c>
      <c r="Q73" s="448" t="s">
        <v>554</v>
      </c>
      <c r="R73" s="448" t="s">
        <v>551</v>
      </c>
      <c r="S73" s="448" t="s">
        <v>551</v>
      </c>
      <c r="T73" s="448" t="s">
        <v>556</v>
      </c>
      <c r="U73" s="447"/>
      <c r="V73" s="447"/>
      <c r="W73" s="447"/>
    </row>
    <row r="74" spans="1:23" s="80" customFormat="1">
      <c r="A74" s="382" t="s">
        <v>534</v>
      </c>
      <c r="B74" s="382" t="s">
        <v>534</v>
      </c>
      <c r="C74" s="442" t="s">
        <v>557</v>
      </c>
      <c r="D74" s="443" t="s">
        <v>558</v>
      </c>
      <c r="E74" s="444" t="s">
        <v>559</v>
      </c>
      <c r="F74" s="444" t="s">
        <v>560</v>
      </c>
      <c r="G74" s="444" t="s">
        <v>561</v>
      </c>
      <c r="H74" s="444" t="s">
        <v>562</v>
      </c>
      <c r="I74" s="425" t="s">
        <v>563</v>
      </c>
      <c r="J74" s="444" t="s">
        <v>564</v>
      </c>
      <c r="K74" s="425" t="s">
        <v>563</v>
      </c>
      <c r="L74" s="425" t="s">
        <v>563</v>
      </c>
      <c r="M74" s="443" t="s">
        <v>565</v>
      </c>
      <c r="N74" s="443" t="s">
        <v>566</v>
      </c>
      <c r="O74" s="443" t="s">
        <v>566</v>
      </c>
      <c r="P74" s="443" t="s">
        <v>566</v>
      </c>
      <c r="Q74" s="443" t="s">
        <v>566</v>
      </c>
      <c r="R74" s="443" t="s">
        <v>567</v>
      </c>
      <c r="S74" s="443" t="s">
        <v>568</v>
      </c>
      <c r="T74" s="443" t="s">
        <v>569</v>
      </c>
      <c r="U74" s="447"/>
      <c r="V74" s="447"/>
      <c r="W74" s="447"/>
    </row>
    <row r="75" spans="1:23" s="80" customFormat="1">
      <c r="A75" s="382" t="s">
        <v>534</v>
      </c>
      <c r="B75" s="382" t="s">
        <v>534</v>
      </c>
      <c r="C75" s="442" t="s">
        <v>570</v>
      </c>
      <c r="D75" s="443" t="s">
        <v>571</v>
      </c>
      <c r="E75" s="444" t="s">
        <v>572</v>
      </c>
      <c r="F75" s="444" t="s">
        <v>573</v>
      </c>
      <c r="G75" s="444" t="s">
        <v>574</v>
      </c>
      <c r="H75" s="444" t="s">
        <v>574</v>
      </c>
      <c r="I75" s="425" t="s">
        <v>563</v>
      </c>
      <c r="J75" s="444" t="s">
        <v>575</v>
      </c>
      <c r="K75" s="425" t="s">
        <v>563</v>
      </c>
      <c r="L75" s="425" t="s">
        <v>563</v>
      </c>
      <c r="M75" s="443" t="s">
        <v>576</v>
      </c>
      <c r="N75" s="448" t="s">
        <v>577</v>
      </c>
      <c r="O75" s="448" t="s">
        <v>577</v>
      </c>
      <c r="P75" s="448" t="s">
        <v>577</v>
      </c>
      <c r="Q75" s="448" t="s">
        <v>577</v>
      </c>
      <c r="R75" s="443" t="s">
        <v>578</v>
      </c>
      <c r="S75" s="443" t="s">
        <v>578</v>
      </c>
      <c r="T75" s="448" t="s">
        <v>579</v>
      </c>
      <c r="U75" s="447"/>
      <c r="V75" s="447"/>
      <c r="W75" s="447"/>
    </row>
    <row r="76" spans="1:23" ht="15.5">
      <c r="C76" s="449"/>
      <c r="D76" s="449"/>
      <c r="E76" s="449"/>
      <c r="F76" s="449"/>
      <c r="G76" s="449"/>
      <c r="H76" s="449"/>
      <c r="I76" s="449"/>
      <c r="J76" s="449"/>
      <c r="K76" s="449"/>
      <c r="L76" s="449"/>
      <c r="M76" s="449"/>
      <c r="N76" s="449"/>
      <c r="O76" s="449"/>
      <c r="P76" s="449"/>
      <c r="Q76" s="449"/>
      <c r="R76" s="449"/>
      <c r="S76" s="449"/>
      <c r="T76" s="449"/>
      <c r="U76" s="450"/>
      <c r="V76" s="450"/>
      <c r="W76" s="450"/>
    </row>
    <row r="77" spans="1:23" ht="15.5">
      <c r="C77" s="449"/>
      <c r="D77" s="449"/>
      <c r="E77" s="449"/>
      <c r="F77" s="449"/>
      <c r="G77" s="449"/>
      <c r="H77" s="449"/>
      <c r="I77" s="449"/>
      <c r="J77" s="449"/>
      <c r="K77" s="449"/>
      <c r="L77" s="449"/>
      <c r="M77" s="449"/>
      <c r="N77" s="449"/>
      <c r="O77" s="449"/>
      <c r="P77" s="449"/>
      <c r="Q77" s="449"/>
      <c r="R77" s="449"/>
      <c r="S77" s="449"/>
      <c r="T77" s="449"/>
      <c r="U77" s="450"/>
      <c r="V77" s="450"/>
      <c r="W77" s="450"/>
    </row>
    <row r="78" spans="1:23" ht="15.5">
      <c r="C78" s="449"/>
      <c r="D78" s="449"/>
      <c r="E78" s="449"/>
      <c r="F78" s="449"/>
      <c r="G78" s="449"/>
      <c r="H78" s="449"/>
      <c r="I78" s="449"/>
      <c r="J78" s="449"/>
      <c r="K78" s="449"/>
      <c r="L78" s="449"/>
      <c r="M78" s="449"/>
      <c r="N78" s="449"/>
      <c r="O78" s="449"/>
      <c r="P78" s="449"/>
      <c r="Q78" s="449"/>
      <c r="R78" s="449"/>
      <c r="S78" s="449"/>
      <c r="T78" s="449"/>
      <c r="U78" s="450"/>
      <c r="V78" s="450"/>
      <c r="W78" s="450"/>
    </row>
    <row r="79" spans="1:23" ht="15.5">
      <c r="C79" s="449"/>
      <c r="D79" s="449"/>
      <c r="E79" s="449"/>
      <c r="F79" s="449"/>
      <c r="G79" s="449"/>
      <c r="H79" s="449"/>
      <c r="I79" s="449"/>
      <c r="J79" s="449"/>
      <c r="K79" s="449"/>
      <c r="L79" s="449"/>
      <c r="M79" s="449"/>
      <c r="N79" s="449"/>
      <c r="O79" s="449"/>
      <c r="P79" s="449"/>
      <c r="Q79" s="449"/>
      <c r="R79" s="449"/>
      <c r="S79" s="449"/>
      <c r="T79" s="449"/>
      <c r="U79" s="450"/>
      <c r="V79" s="450"/>
      <c r="W79" s="450"/>
    </row>
    <row r="80" spans="1:23" ht="15.5">
      <c r="T80" s="281"/>
    </row>
    <row r="81" ht="15.5"/>
    <row r="82" ht="15.5"/>
    <row r="83" ht="15.5"/>
    <row r="84" ht="15.5"/>
    <row r="85" ht="15.5"/>
    <row r="86" ht="15.5"/>
    <row r="87" ht="15.5"/>
    <row r="88" ht="15.5"/>
    <row r="89" ht="15.5"/>
    <row r="90" ht="15.5"/>
  </sheetData>
  <phoneticPr fontId="10" type="noConversion"/>
  <pageMargins left="0.7" right="0.7" top="0.75" bottom="0.75" header="0.3" footer="0.3"/>
  <pageSetup paperSize="9" orientation="portrait" horizontalDpi="4294967293" verticalDpi="4294967293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41EDD-B421-40AE-9C7F-A9CA0A63F208}">
  <dimension ref="B1:K88"/>
  <sheetViews>
    <sheetView zoomScaleNormal="100" workbookViewId="0">
      <pane xSplit="2" ySplit="7" topLeftCell="C53" activePane="bottomRight" state="frozen"/>
      <selection pane="topRight" activeCell="C1" sqref="C1"/>
      <selection pane="bottomLeft" activeCell="A8" sqref="A8"/>
      <selection pane="bottomRight" activeCell="C6" sqref="C6"/>
    </sheetView>
  </sheetViews>
  <sheetFormatPr defaultColWidth="9" defaultRowHeight="15" customHeight="1"/>
  <cols>
    <col min="1" max="1" width="3.5" style="1" customWidth="1"/>
    <col min="2" max="2" width="35" style="1" customWidth="1"/>
    <col min="3" max="3" width="62.58203125" style="344" customWidth="1"/>
    <col min="4" max="5" width="55.83203125" style="4" customWidth="1"/>
    <col min="6" max="6" width="49.58203125" style="1" customWidth="1"/>
    <col min="7" max="7" width="50.5" style="1" customWidth="1"/>
    <col min="8" max="8" width="51.08203125" style="29" customWidth="1"/>
    <col min="9" max="9" width="50.33203125" style="29" customWidth="1"/>
    <col min="10" max="10" width="55.08203125" style="1" customWidth="1"/>
    <col min="11" max="11" width="55.58203125" style="1" customWidth="1"/>
    <col min="12" max="16384" width="9" style="1"/>
  </cols>
  <sheetData>
    <row r="1" spans="2:11" s="344" customFormat="1">
      <c r="C1" s="342"/>
      <c r="D1" s="342"/>
      <c r="E1" s="342"/>
      <c r="F1" s="345"/>
      <c r="G1" s="345"/>
      <c r="H1" s="346"/>
      <c r="I1" s="346"/>
      <c r="J1" s="346"/>
      <c r="K1" s="346"/>
    </row>
    <row r="2" spans="2:11" s="344" customFormat="1" ht="27">
      <c r="B2" s="347" t="s">
        <v>580</v>
      </c>
      <c r="C2" s="342"/>
      <c r="D2" s="342"/>
      <c r="E2" s="342"/>
      <c r="F2" s="345"/>
      <c r="G2" s="345"/>
      <c r="H2" s="346"/>
      <c r="I2" s="346"/>
      <c r="J2" s="346"/>
      <c r="K2" s="346"/>
    </row>
    <row r="3" spans="2:11" s="344" customFormat="1">
      <c r="C3" s="342"/>
      <c r="D3" s="342"/>
      <c r="E3" s="342"/>
      <c r="F3" s="345"/>
      <c r="G3" s="345"/>
      <c r="H3" s="346"/>
      <c r="I3" s="346"/>
      <c r="J3" s="346"/>
      <c r="K3" s="346"/>
    </row>
    <row r="4" spans="2:11" s="344" customFormat="1">
      <c r="C4" s="342"/>
      <c r="D4" s="342"/>
      <c r="E4" s="342"/>
      <c r="F4" s="345"/>
      <c r="G4" s="345"/>
      <c r="H4" s="346"/>
      <c r="I4" s="346"/>
      <c r="J4" s="346"/>
      <c r="K4" s="346"/>
    </row>
    <row r="5" spans="2:11" s="344" customFormat="1" ht="30.75" customHeight="1">
      <c r="B5" s="344" t="s">
        <v>581</v>
      </c>
      <c r="C5" s="348" t="s">
        <v>582</v>
      </c>
      <c r="D5" s="348" t="s">
        <v>583</v>
      </c>
      <c r="E5" s="348" t="s">
        <v>584</v>
      </c>
      <c r="F5" s="349" t="s">
        <v>585</v>
      </c>
      <c r="G5" s="349" t="s">
        <v>586</v>
      </c>
      <c r="H5" s="350" t="s">
        <v>587</v>
      </c>
      <c r="I5" s="350" t="s">
        <v>588</v>
      </c>
      <c r="J5" s="350" t="s">
        <v>587</v>
      </c>
      <c r="K5" s="350" t="s">
        <v>588</v>
      </c>
    </row>
    <row r="6" spans="2:11" s="344" customFormat="1" ht="30.75" customHeight="1">
      <c r="B6" s="344" t="s">
        <v>589</v>
      </c>
      <c r="C6" s="348" t="s">
        <v>590</v>
      </c>
      <c r="D6" s="348" t="s">
        <v>591</v>
      </c>
      <c r="E6" s="351" t="s">
        <v>592</v>
      </c>
      <c r="F6" s="349" t="s">
        <v>593</v>
      </c>
      <c r="G6" s="349" t="s">
        <v>594</v>
      </c>
      <c r="H6" s="350" t="s">
        <v>595</v>
      </c>
      <c r="I6" s="350" t="s">
        <v>596</v>
      </c>
      <c r="J6" s="410" t="s">
        <v>597</v>
      </c>
      <c r="K6" s="410" t="s">
        <v>598</v>
      </c>
    </row>
    <row r="7" spans="2:11" s="344" customFormat="1" ht="30">
      <c r="B7" s="344" t="s">
        <v>599</v>
      </c>
      <c r="C7" s="348" t="s">
        <v>600</v>
      </c>
      <c r="D7" s="348" t="s">
        <v>601</v>
      </c>
      <c r="E7" s="348" t="s">
        <v>602</v>
      </c>
      <c r="F7" s="348" t="s">
        <v>601</v>
      </c>
      <c r="G7" s="348" t="s">
        <v>601</v>
      </c>
      <c r="H7" s="350" t="s">
        <v>603</v>
      </c>
      <c r="I7" s="350" t="s">
        <v>604</v>
      </c>
      <c r="J7" s="410" t="s">
        <v>605</v>
      </c>
      <c r="K7" s="410" t="s">
        <v>605</v>
      </c>
    </row>
    <row r="8" spans="2:11" s="344" customFormat="1">
      <c r="B8" s="352"/>
      <c r="C8" s="353"/>
      <c r="D8" s="353"/>
      <c r="E8" s="353"/>
      <c r="F8" s="354"/>
      <c r="G8" s="354"/>
      <c r="H8" s="355"/>
      <c r="I8" s="355"/>
      <c r="J8" s="355"/>
      <c r="K8" s="355"/>
    </row>
    <row r="9" spans="2:11" s="344" customFormat="1" ht="30">
      <c r="B9" s="352" t="s">
        <v>269</v>
      </c>
      <c r="C9" s="385" t="s">
        <v>606</v>
      </c>
      <c r="D9" s="353"/>
      <c r="E9" s="353"/>
      <c r="F9" s="353"/>
      <c r="G9" s="353"/>
      <c r="H9" s="355" t="s">
        <v>82</v>
      </c>
      <c r="I9" s="355" t="s">
        <v>82</v>
      </c>
      <c r="J9" s="355" t="s">
        <v>82</v>
      </c>
      <c r="K9" s="355" t="s">
        <v>82</v>
      </c>
    </row>
    <row r="10" spans="2:11" s="344" customFormat="1">
      <c r="B10" s="352"/>
      <c r="C10" s="397" t="s">
        <v>246</v>
      </c>
      <c r="D10" s="353"/>
      <c r="E10" s="353"/>
      <c r="F10" s="353"/>
      <c r="G10" s="356"/>
      <c r="H10" s="355"/>
      <c r="I10" s="355"/>
      <c r="J10" s="355"/>
      <c r="K10" s="355"/>
    </row>
    <row r="11" spans="2:11" s="344" customFormat="1">
      <c r="B11" s="352" t="s">
        <v>281</v>
      </c>
      <c r="C11" s="385" t="s">
        <v>282</v>
      </c>
      <c r="D11" s="356" t="s">
        <v>282</v>
      </c>
      <c r="E11" s="356" t="s">
        <v>282</v>
      </c>
      <c r="F11" s="356" t="s">
        <v>282</v>
      </c>
      <c r="G11" s="356" t="s">
        <v>282</v>
      </c>
      <c r="H11" s="355" t="s">
        <v>304</v>
      </c>
      <c r="I11" s="355" t="s">
        <v>304</v>
      </c>
      <c r="J11" s="355" t="s">
        <v>304</v>
      </c>
      <c r="K11" s="355" t="s">
        <v>304</v>
      </c>
    </row>
    <row r="12" spans="2:11" s="344" customFormat="1">
      <c r="B12" s="352"/>
      <c r="C12" s="397" t="s">
        <v>246</v>
      </c>
      <c r="D12" s="353"/>
      <c r="E12" s="353"/>
      <c r="F12" s="353"/>
      <c r="G12" s="353"/>
      <c r="H12" s="355"/>
      <c r="I12" s="355"/>
      <c r="J12" s="355"/>
      <c r="K12" s="355"/>
    </row>
    <row r="13" spans="2:11" s="344" customFormat="1" ht="60">
      <c r="B13" s="352" t="s">
        <v>284</v>
      </c>
      <c r="C13" s="385" t="s">
        <v>607</v>
      </c>
      <c r="D13" s="356" t="s">
        <v>608</v>
      </c>
      <c r="E13" s="356" t="s">
        <v>609</v>
      </c>
      <c r="F13" s="356" t="s">
        <v>610</v>
      </c>
      <c r="G13" s="356" t="s">
        <v>608</v>
      </c>
      <c r="H13" s="355" t="s">
        <v>611</v>
      </c>
      <c r="I13" s="355" t="s">
        <v>611</v>
      </c>
      <c r="J13" s="355" t="s">
        <v>612</v>
      </c>
      <c r="K13" s="355" t="s">
        <v>612</v>
      </c>
    </row>
    <row r="14" spans="2:11" s="344" customFormat="1">
      <c r="B14" s="352" t="s">
        <v>613</v>
      </c>
      <c r="C14" s="385" t="s">
        <v>614</v>
      </c>
      <c r="D14" s="357" t="s">
        <v>82</v>
      </c>
      <c r="E14" s="357" t="s">
        <v>82</v>
      </c>
      <c r="F14" s="357"/>
      <c r="G14" s="357" t="s">
        <v>82</v>
      </c>
      <c r="H14" s="358" t="s">
        <v>82</v>
      </c>
      <c r="I14" s="358" t="s">
        <v>82</v>
      </c>
      <c r="J14" s="358" t="s">
        <v>82</v>
      </c>
      <c r="K14" s="358" t="s">
        <v>82</v>
      </c>
    </row>
    <row r="15" spans="2:11" s="344" customFormat="1" ht="30">
      <c r="B15" s="352" t="s">
        <v>615</v>
      </c>
      <c r="C15" s="385" t="s">
        <v>616</v>
      </c>
      <c r="D15" s="357" t="s">
        <v>617</v>
      </c>
      <c r="E15" s="357" t="s">
        <v>617</v>
      </c>
      <c r="F15" s="357" t="s">
        <v>618</v>
      </c>
      <c r="G15" s="357" t="s">
        <v>617</v>
      </c>
      <c r="H15" s="358" t="s">
        <v>619</v>
      </c>
      <c r="I15" s="358" t="s">
        <v>619</v>
      </c>
      <c r="J15" s="358" t="s">
        <v>619</v>
      </c>
      <c r="K15" s="358" t="s">
        <v>619</v>
      </c>
    </row>
    <row r="16" spans="2:11" s="344" customFormat="1" ht="27">
      <c r="B16" s="352" t="s">
        <v>302</v>
      </c>
      <c r="C16" s="385" t="s">
        <v>82</v>
      </c>
      <c r="D16" s="357" t="s">
        <v>620</v>
      </c>
      <c r="E16" s="357" t="s">
        <v>82</v>
      </c>
      <c r="F16" s="357"/>
      <c r="G16" s="357" t="s">
        <v>620</v>
      </c>
      <c r="H16" s="358" t="s">
        <v>82</v>
      </c>
      <c r="I16" s="358"/>
      <c r="J16" s="358" t="s">
        <v>82</v>
      </c>
      <c r="K16" s="358"/>
    </row>
    <row r="17" spans="2:11" s="344" customFormat="1">
      <c r="B17" s="352" t="s">
        <v>621</v>
      </c>
      <c r="C17" s="397" t="s">
        <v>349</v>
      </c>
      <c r="D17" s="359" t="s">
        <v>349</v>
      </c>
      <c r="E17" s="359" t="s">
        <v>349</v>
      </c>
      <c r="F17" s="359" t="s">
        <v>349</v>
      </c>
      <c r="G17" s="359" t="s">
        <v>349</v>
      </c>
      <c r="H17" s="358" t="s">
        <v>349</v>
      </c>
      <c r="I17" s="358" t="s">
        <v>349</v>
      </c>
      <c r="J17" s="358" t="s">
        <v>349</v>
      </c>
      <c r="K17" s="358" t="s">
        <v>349</v>
      </c>
    </row>
    <row r="18" spans="2:11" s="344" customFormat="1">
      <c r="B18" s="352"/>
      <c r="C18" s="420" t="s">
        <v>246</v>
      </c>
      <c r="D18" s="357"/>
      <c r="E18" s="357"/>
      <c r="F18" s="357"/>
      <c r="G18" s="357"/>
      <c r="H18" s="358"/>
      <c r="I18" s="358"/>
      <c r="J18" s="358"/>
      <c r="K18" s="358"/>
    </row>
    <row r="19" spans="2:11" s="344" customFormat="1" ht="54">
      <c r="B19" s="352" t="s">
        <v>622</v>
      </c>
      <c r="C19" s="421" t="s">
        <v>623</v>
      </c>
      <c r="D19" s="357" t="s">
        <v>624</v>
      </c>
      <c r="E19" s="357" t="s">
        <v>625</v>
      </c>
      <c r="F19" s="360" t="s">
        <v>626</v>
      </c>
      <c r="G19" s="360" t="s">
        <v>627</v>
      </c>
      <c r="H19" s="358" t="s">
        <v>628</v>
      </c>
      <c r="I19" s="361" t="s">
        <v>629</v>
      </c>
      <c r="J19" s="358" t="s">
        <v>628</v>
      </c>
      <c r="K19" s="361" t="s">
        <v>629</v>
      </c>
    </row>
    <row r="20" spans="2:11" s="363" customFormat="1" ht="45">
      <c r="B20" s="362" t="s">
        <v>630</v>
      </c>
      <c r="C20" s="396" t="s">
        <v>631</v>
      </c>
      <c r="D20" s="357"/>
      <c r="E20" s="357"/>
      <c r="F20" s="357"/>
      <c r="G20" s="357"/>
      <c r="H20" s="358" t="s">
        <v>632</v>
      </c>
      <c r="I20" s="358" t="s">
        <v>336</v>
      </c>
      <c r="J20" s="358" t="s">
        <v>632</v>
      </c>
      <c r="K20" s="358" t="s">
        <v>336</v>
      </c>
    </row>
    <row r="21" spans="2:11" s="363" customFormat="1" ht="45">
      <c r="B21" s="362" t="s">
        <v>347</v>
      </c>
      <c r="C21" s="396" t="s">
        <v>633</v>
      </c>
      <c r="D21" s="357"/>
      <c r="E21" s="357"/>
      <c r="F21" s="357"/>
      <c r="G21" s="357"/>
      <c r="H21" s="358"/>
      <c r="I21" s="358" t="s">
        <v>82</v>
      </c>
      <c r="J21" s="358"/>
      <c r="K21" s="358" t="s">
        <v>82</v>
      </c>
    </row>
    <row r="22" spans="2:11" s="344" customFormat="1">
      <c r="B22" s="352"/>
      <c r="C22" s="420" t="s">
        <v>246</v>
      </c>
      <c r="D22" s="357"/>
      <c r="E22" s="357"/>
      <c r="F22" s="357"/>
      <c r="G22" s="357"/>
      <c r="H22" s="364" t="s">
        <v>82</v>
      </c>
      <c r="I22" s="364" t="s">
        <v>82</v>
      </c>
      <c r="J22" s="364" t="s">
        <v>82</v>
      </c>
      <c r="K22" s="364" t="s">
        <v>82</v>
      </c>
    </row>
    <row r="23" spans="2:11" s="344" customFormat="1" ht="27">
      <c r="B23" s="352" t="s">
        <v>634</v>
      </c>
      <c r="C23" s="385" t="s">
        <v>635</v>
      </c>
      <c r="D23" s="357" t="s">
        <v>636</v>
      </c>
      <c r="E23" s="357" t="s">
        <v>636</v>
      </c>
      <c r="F23" s="357" t="s">
        <v>636</v>
      </c>
      <c r="G23" s="357" t="s">
        <v>636</v>
      </c>
      <c r="H23" s="358" t="s">
        <v>637</v>
      </c>
      <c r="I23" s="358" t="s">
        <v>637</v>
      </c>
      <c r="J23" s="358" t="s">
        <v>637</v>
      </c>
      <c r="K23" s="358" t="s">
        <v>637</v>
      </c>
    </row>
    <row r="24" spans="2:11" s="344" customFormat="1">
      <c r="B24" s="352" t="s">
        <v>638</v>
      </c>
      <c r="C24" s="384" t="s">
        <v>639</v>
      </c>
      <c r="D24" s="357" t="s">
        <v>82</v>
      </c>
      <c r="E24" s="357" t="s">
        <v>82</v>
      </c>
      <c r="F24" s="357" t="s">
        <v>82</v>
      </c>
      <c r="G24" s="357" t="s">
        <v>82</v>
      </c>
      <c r="H24" s="358"/>
      <c r="I24" s="358"/>
      <c r="J24" s="358"/>
      <c r="K24" s="358"/>
    </row>
    <row r="25" spans="2:11" s="344" customFormat="1" ht="30">
      <c r="B25" s="352" t="s">
        <v>640</v>
      </c>
      <c r="C25" s="385" t="s">
        <v>641</v>
      </c>
      <c r="D25" s="357" t="s">
        <v>642</v>
      </c>
      <c r="E25" s="357" t="s">
        <v>643</v>
      </c>
      <c r="F25" s="357" t="s">
        <v>642</v>
      </c>
      <c r="G25" s="357" t="s">
        <v>642</v>
      </c>
      <c r="H25" s="364" t="s">
        <v>644</v>
      </c>
      <c r="I25" s="364" t="s">
        <v>644</v>
      </c>
      <c r="J25" s="364" t="s">
        <v>644</v>
      </c>
      <c r="K25" s="364" t="s">
        <v>644</v>
      </c>
    </row>
    <row r="26" spans="2:11" s="344" customFormat="1">
      <c r="B26" s="352"/>
      <c r="C26" s="389" t="s">
        <v>246</v>
      </c>
      <c r="D26" s="357"/>
      <c r="E26" s="357"/>
      <c r="F26" s="357"/>
      <c r="G26" s="357"/>
      <c r="H26" s="358"/>
      <c r="I26" s="358"/>
      <c r="J26" s="358"/>
      <c r="K26" s="358"/>
    </row>
    <row r="27" spans="2:11" s="344" customFormat="1" ht="40.5">
      <c r="B27" s="352" t="s">
        <v>645</v>
      </c>
      <c r="C27" s="385" t="s">
        <v>646</v>
      </c>
      <c r="D27" s="357" t="s">
        <v>647</v>
      </c>
      <c r="E27" s="360" t="s">
        <v>648</v>
      </c>
      <c r="F27" s="357" t="s">
        <v>647</v>
      </c>
      <c r="G27" s="357" t="s">
        <v>647</v>
      </c>
      <c r="H27" s="358" t="s">
        <v>649</v>
      </c>
      <c r="I27" s="358" t="s">
        <v>650</v>
      </c>
      <c r="J27" s="358" t="s">
        <v>649</v>
      </c>
      <c r="K27" s="358" t="s">
        <v>650</v>
      </c>
    </row>
    <row r="28" spans="2:11" s="365" customFormat="1">
      <c r="B28" s="352" t="s">
        <v>651</v>
      </c>
      <c r="C28" s="385">
        <v>4</v>
      </c>
      <c r="D28" s="357">
        <v>2</v>
      </c>
      <c r="E28" s="357">
        <v>2</v>
      </c>
      <c r="F28" s="357">
        <v>2</v>
      </c>
      <c r="G28" s="357">
        <v>2</v>
      </c>
      <c r="H28" s="358" t="s">
        <v>652</v>
      </c>
      <c r="I28" s="358" t="s">
        <v>652</v>
      </c>
      <c r="J28" s="358" t="s">
        <v>652</v>
      </c>
      <c r="K28" s="358" t="s">
        <v>652</v>
      </c>
    </row>
    <row r="29" spans="2:11" s="342" customFormat="1" ht="45">
      <c r="B29" s="352" t="s">
        <v>653</v>
      </c>
      <c r="C29" s="356" t="s">
        <v>654</v>
      </c>
      <c r="D29" s="357" t="s">
        <v>655</v>
      </c>
      <c r="E29" s="357" t="s">
        <v>656</v>
      </c>
      <c r="F29" s="357" t="s">
        <v>655</v>
      </c>
      <c r="G29" s="357" t="s">
        <v>655</v>
      </c>
      <c r="H29" s="358" t="s">
        <v>657</v>
      </c>
      <c r="I29" s="358" t="s">
        <v>657</v>
      </c>
      <c r="J29" s="358" t="s">
        <v>657</v>
      </c>
      <c r="K29" s="358" t="s">
        <v>657</v>
      </c>
    </row>
    <row r="30" spans="2:11" s="342" customFormat="1" ht="30">
      <c r="B30" s="352" t="s">
        <v>658</v>
      </c>
      <c r="C30" s="385" t="s">
        <v>659</v>
      </c>
      <c r="D30" s="357" t="s">
        <v>660</v>
      </c>
      <c r="E30" s="357" t="s">
        <v>661</v>
      </c>
      <c r="F30" s="357" t="s">
        <v>660</v>
      </c>
      <c r="G30" s="357" t="s">
        <v>660</v>
      </c>
      <c r="H30" s="358" t="s">
        <v>662</v>
      </c>
      <c r="I30" s="358" t="s">
        <v>662</v>
      </c>
      <c r="J30" s="358" t="s">
        <v>662</v>
      </c>
      <c r="K30" s="358" t="s">
        <v>662</v>
      </c>
    </row>
    <row r="31" spans="2:11" s="344" customFormat="1">
      <c r="B31" s="352"/>
      <c r="C31" s="385" t="s">
        <v>246</v>
      </c>
      <c r="D31" s="366"/>
      <c r="E31" s="366"/>
      <c r="F31" s="366"/>
      <c r="G31" s="366"/>
      <c r="H31" s="358" t="s">
        <v>82</v>
      </c>
      <c r="I31" s="358" t="s">
        <v>82</v>
      </c>
      <c r="J31" s="358" t="s">
        <v>82</v>
      </c>
      <c r="K31" s="358" t="s">
        <v>82</v>
      </c>
    </row>
    <row r="32" spans="2:11" s="344" customFormat="1">
      <c r="B32" s="352" t="s">
        <v>663</v>
      </c>
      <c r="C32" s="385" t="s">
        <v>423</v>
      </c>
      <c r="D32" s="357" t="s">
        <v>664</v>
      </c>
      <c r="E32" s="357" t="s">
        <v>665</v>
      </c>
      <c r="F32" s="357" t="s">
        <v>664</v>
      </c>
      <c r="G32" s="357" t="s">
        <v>664</v>
      </c>
      <c r="H32" s="358" t="s">
        <v>666</v>
      </c>
      <c r="I32" s="358" t="s">
        <v>666</v>
      </c>
      <c r="J32" s="358" t="s">
        <v>666</v>
      </c>
      <c r="K32" s="358" t="s">
        <v>666</v>
      </c>
    </row>
    <row r="33" spans="2:11" s="365" customFormat="1" ht="27">
      <c r="B33" s="352" t="s">
        <v>667</v>
      </c>
      <c r="C33" s="385" t="s">
        <v>668</v>
      </c>
      <c r="D33" s="357" t="s">
        <v>668</v>
      </c>
      <c r="E33" s="357" t="s">
        <v>669</v>
      </c>
      <c r="F33" s="357" t="s">
        <v>668</v>
      </c>
      <c r="G33" s="357" t="s">
        <v>668</v>
      </c>
      <c r="H33" s="358" t="s">
        <v>670</v>
      </c>
      <c r="I33" s="358" t="s">
        <v>670</v>
      </c>
      <c r="J33" s="358" t="s">
        <v>671</v>
      </c>
      <c r="K33" s="358" t="s">
        <v>671</v>
      </c>
    </row>
    <row r="34" spans="2:11" s="365" customFormat="1">
      <c r="B34" s="352" t="s">
        <v>205</v>
      </c>
      <c r="C34" s="385">
        <v>5</v>
      </c>
      <c r="D34" s="357">
        <v>5</v>
      </c>
      <c r="E34" s="357">
        <v>5</v>
      </c>
      <c r="F34" s="357">
        <v>5</v>
      </c>
      <c r="G34" s="357">
        <v>5</v>
      </c>
      <c r="H34" s="358">
        <v>5.2</v>
      </c>
      <c r="I34" s="358">
        <v>5.2</v>
      </c>
      <c r="J34" s="358">
        <v>5.2</v>
      </c>
      <c r="K34" s="358">
        <v>5.2</v>
      </c>
    </row>
    <row r="35" spans="2:11" s="344" customFormat="1">
      <c r="B35" s="352"/>
      <c r="C35" s="385" t="s">
        <v>246</v>
      </c>
      <c r="D35" s="357"/>
      <c r="E35" s="357"/>
      <c r="F35" s="357"/>
      <c r="G35" s="357"/>
      <c r="H35" s="358"/>
      <c r="I35" s="358"/>
      <c r="J35" s="358"/>
      <c r="K35" s="358"/>
    </row>
    <row r="36" spans="2:11" s="365" customFormat="1">
      <c r="B36" s="352" t="s">
        <v>435</v>
      </c>
      <c r="C36" s="385" t="s">
        <v>672</v>
      </c>
      <c r="D36" s="357" t="s">
        <v>673</v>
      </c>
      <c r="E36" s="357" t="s">
        <v>674</v>
      </c>
      <c r="F36" s="357" t="s">
        <v>673</v>
      </c>
      <c r="G36" s="357" t="s">
        <v>673</v>
      </c>
      <c r="H36" s="358" t="s">
        <v>436</v>
      </c>
      <c r="I36" s="358" t="s">
        <v>675</v>
      </c>
      <c r="J36" s="358" t="s">
        <v>436</v>
      </c>
      <c r="K36" s="358" t="s">
        <v>675</v>
      </c>
    </row>
    <row r="37" spans="2:11" s="344" customFormat="1" ht="202.5">
      <c r="B37" s="352" t="s">
        <v>676</v>
      </c>
      <c r="C37" s="422" t="s">
        <v>677</v>
      </c>
      <c r="D37" s="367" t="s">
        <v>678</v>
      </c>
      <c r="E37" s="367" t="s">
        <v>678</v>
      </c>
      <c r="F37" s="367" t="s">
        <v>678</v>
      </c>
      <c r="G37" s="367" t="s">
        <v>678</v>
      </c>
      <c r="H37" s="361" t="s">
        <v>679</v>
      </c>
      <c r="I37" s="361" t="s">
        <v>679</v>
      </c>
      <c r="J37" s="361" t="s">
        <v>679</v>
      </c>
      <c r="K37" s="361" t="s">
        <v>679</v>
      </c>
    </row>
    <row r="38" spans="2:11" s="344" customFormat="1">
      <c r="B38" s="352" t="s">
        <v>680</v>
      </c>
      <c r="C38" s="385" t="s">
        <v>644</v>
      </c>
      <c r="D38" s="357" t="s">
        <v>644</v>
      </c>
      <c r="E38" s="357" t="s">
        <v>644</v>
      </c>
      <c r="F38" s="357" t="s">
        <v>644</v>
      </c>
      <c r="G38" s="357" t="s">
        <v>644</v>
      </c>
      <c r="H38" s="358" t="s">
        <v>644</v>
      </c>
      <c r="I38" s="358" t="s">
        <v>644</v>
      </c>
      <c r="J38" s="358" t="s">
        <v>644</v>
      </c>
      <c r="K38" s="358" t="s">
        <v>644</v>
      </c>
    </row>
    <row r="39" spans="2:11" s="344" customFormat="1" ht="54">
      <c r="B39" s="352" t="s">
        <v>681</v>
      </c>
      <c r="C39" s="423" t="s">
        <v>682</v>
      </c>
      <c r="D39" s="357" t="s">
        <v>683</v>
      </c>
      <c r="E39" s="357" t="s">
        <v>82</v>
      </c>
      <c r="F39" s="357" t="s">
        <v>683</v>
      </c>
      <c r="G39" s="357" t="s">
        <v>683</v>
      </c>
      <c r="H39" s="358" t="s">
        <v>684</v>
      </c>
      <c r="I39" s="358" t="s">
        <v>684</v>
      </c>
      <c r="J39" s="358" t="s">
        <v>684</v>
      </c>
      <c r="K39" s="358" t="s">
        <v>684</v>
      </c>
    </row>
    <row r="40" spans="2:11" s="344" customFormat="1" ht="27">
      <c r="B40" s="352" t="s">
        <v>685</v>
      </c>
      <c r="C40" s="360" t="s">
        <v>686</v>
      </c>
      <c r="D40" s="357" t="s">
        <v>687</v>
      </c>
      <c r="E40" s="357" t="s">
        <v>82</v>
      </c>
      <c r="F40" s="357" t="s">
        <v>687</v>
      </c>
      <c r="G40" s="357" t="s">
        <v>687</v>
      </c>
      <c r="H40" s="364" t="s">
        <v>82</v>
      </c>
      <c r="I40" s="364" t="s">
        <v>82</v>
      </c>
      <c r="J40" s="364" t="s">
        <v>82</v>
      </c>
      <c r="K40" s="364" t="s">
        <v>82</v>
      </c>
    </row>
    <row r="41" spans="2:11" s="344" customFormat="1">
      <c r="B41" s="352" t="s">
        <v>688</v>
      </c>
      <c r="C41" s="384" t="s">
        <v>689</v>
      </c>
      <c r="D41" s="357" t="s">
        <v>689</v>
      </c>
      <c r="E41" s="357" t="s">
        <v>689</v>
      </c>
      <c r="F41" s="357" t="s">
        <v>689</v>
      </c>
      <c r="G41" s="357" t="s">
        <v>689</v>
      </c>
      <c r="H41" s="358" t="s">
        <v>690</v>
      </c>
      <c r="I41" s="358" t="s">
        <v>690</v>
      </c>
      <c r="J41" s="358" t="s">
        <v>690</v>
      </c>
      <c r="K41" s="358" t="s">
        <v>690</v>
      </c>
    </row>
    <row r="42" spans="2:11" s="344" customFormat="1" ht="30">
      <c r="B42" s="352" t="s">
        <v>473</v>
      </c>
      <c r="C42" s="384" t="s">
        <v>691</v>
      </c>
      <c r="D42" s="357" t="s">
        <v>691</v>
      </c>
      <c r="E42" s="357" t="s">
        <v>691</v>
      </c>
      <c r="F42" s="357" t="s">
        <v>691</v>
      </c>
      <c r="G42" s="357" t="s">
        <v>691</v>
      </c>
      <c r="H42" s="358" t="s">
        <v>691</v>
      </c>
      <c r="I42" s="358" t="s">
        <v>691</v>
      </c>
      <c r="J42" s="358" t="s">
        <v>691</v>
      </c>
      <c r="K42" s="358" t="s">
        <v>691</v>
      </c>
    </row>
    <row r="43" spans="2:11" s="344" customFormat="1">
      <c r="B43" s="352" t="s">
        <v>692</v>
      </c>
      <c r="C43" s="359" t="s">
        <v>693</v>
      </c>
      <c r="D43" s="359" t="s">
        <v>693</v>
      </c>
      <c r="E43" s="359" t="s">
        <v>693</v>
      </c>
      <c r="F43" s="359" t="s">
        <v>693</v>
      </c>
      <c r="G43" s="359" t="s">
        <v>693</v>
      </c>
      <c r="H43" s="359" t="s">
        <v>693</v>
      </c>
      <c r="I43" s="359" t="s">
        <v>693</v>
      </c>
      <c r="J43" s="359" t="s">
        <v>693</v>
      </c>
      <c r="K43" s="359" t="s">
        <v>693</v>
      </c>
    </row>
    <row r="44" spans="2:11" s="344" customFormat="1">
      <c r="B44" s="352" t="s">
        <v>694</v>
      </c>
      <c r="C44" s="420" t="s">
        <v>307</v>
      </c>
      <c r="D44" s="359" t="s">
        <v>307</v>
      </c>
      <c r="E44" s="359" t="s">
        <v>307</v>
      </c>
      <c r="F44" s="359" t="s">
        <v>307</v>
      </c>
      <c r="G44" s="359" t="s">
        <v>307</v>
      </c>
      <c r="H44" s="359" t="s">
        <v>307</v>
      </c>
      <c r="I44" s="359" t="s">
        <v>307</v>
      </c>
      <c r="J44" s="359" t="s">
        <v>307</v>
      </c>
      <c r="K44" s="359" t="s">
        <v>307</v>
      </c>
    </row>
    <row r="45" spans="2:11" s="344" customFormat="1">
      <c r="B45" s="352"/>
      <c r="C45" s="420" t="s">
        <v>246</v>
      </c>
      <c r="D45" s="357"/>
      <c r="E45" s="357"/>
      <c r="F45" s="357"/>
      <c r="G45" s="357"/>
      <c r="H45" s="358"/>
      <c r="I45" s="358"/>
      <c r="J45" s="358"/>
      <c r="K45" s="358"/>
    </row>
    <row r="46" spans="2:11" s="344" customFormat="1">
      <c r="B46" s="352" t="s">
        <v>695</v>
      </c>
      <c r="C46" s="424">
        <v>0.65</v>
      </c>
      <c r="D46" s="368"/>
      <c r="E46" s="368"/>
      <c r="F46" s="368"/>
      <c r="G46" s="368"/>
      <c r="H46" s="364" t="s">
        <v>644</v>
      </c>
      <c r="I46" s="364" t="s">
        <v>644</v>
      </c>
      <c r="J46" s="364" t="s">
        <v>644</v>
      </c>
      <c r="K46" s="364" t="s">
        <v>644</v>
      </c>
    </row>
    <row r="47" spans="2:11" s="344" customFormat="1">
      <c r="B47" s="352" t="s">
        <v>494</v>
      </c>
      <c r="C47" s="385" t="s">
        <v>696</v>
      </c>
      <c r="D47" s="357"/>
      <c r="E47" s="357"/>
      <c r="F47" s="357"/>
      <c r="G47" s="357"/>
      <c r="H47" s="358" t="s">
        <v>697</v>
      </c>
      <c r="I47" s="358" t="s">
        <v>698</v>
      </c>
      <c r="J47" s="358" t="s">
        <v>82</v>
      </c>
      <c r="K47" s="358" t="s">
        <v>82</v>
      </c>
    </row>
    <row r="48" spans="2:11" s="344" customFormat="1">
      <c r="B48" s="352" t="s">
        <v>223</v>
      </c>
      <c r="C48" s="420" t="s">
        <v>699</v>
      </c>
      <c r="D48" s="369" t="s">
        <v>700</v>
      </c>
      <c r="E48" s="369" t="s">
        <v>700</v>
      </c>
      <c r="F48" s="369" t="s">
        <v>700</v>
      </c>
      <c r="G48" s="369" t="s">
        <v>700</v>
      </c>
      <c r="H48" s="364" t="s">
        <v>82</v>
      </c>
      <c r="I48" s="364" t="s">
        <v>82</v>
      </c>
      <c r="J48" s="364" t="s">
        <v>82</v>
      </c>
      <c r="K48" s="364" t="s">
        <v>82</v>
      </c>
    </row>
    <row r="49" spans="2:11" s="344" customFormat="1">
      <c r="B49" s="352" t="s">
        <v>701</v>
      </c>
      <c r="C49" s="420" t="s">
        <v>702</v>
      </c>
      <c r="D49" s="369" t="s">
        <v>703</v>
      </c>
      <c r="E49" s="369" t="s">
        <v>703</v>
      </c>
      <c r="F49" s="369" t="s">
        <v>703</v>
      </c>
      <c r="G49" s="369" t="s">
        <v>703</v>
      </c>
      <c r="H49" s="364" t="s">
        <v>704</v>
      </c>
      <c r="I49" s="364" t="s">
        <v>705</v>
      </c>
      <c r="J49" s="364" t="s">
        <v>706</v>
      </c>
      <c r="K49" s="364" t="s">
        <v>707</v>
      </c>
    </row>
    <row r="50" spans="2:11" s="344" customFormat="1">
      <c r="B50" s="352"/>
      <c r="C50" s="423" t="s">
        <v>246</v>
      </c>
      <c r="D50" s="370"/>
      <c r="E50" s="370"/>
      <c r="F50" s="370"/>
      <c r="G50" s="370"/>
      <c r="H50" s="358"/>
      <c r="I50" s="358"/>
      <c r="J50" s="358"/>
      <c r="K50" s="358"/>
    </row>
    <row r="51" spans="2:11" s="344" customFormat="1" ht="27" customHeight="1" thickBot="1">
      <c r="B51" s="371"/>
      <c r="C51" s="425" t="s">
        <v>246</v>
      </c>
      <c r="D51" s="372"/>
      <c r="E51" s="372"/>
      <c r="F51" s="372"/>
      <c r="G51" s="372"/>
      <c r="H51" s="373"/>
      <c r="I51" s="373"/>
      <c r="J51" s="373"/>
      <c r="K51" s="373"/>
    </row>
    <row r="52" spans="2:11" s="344" customFormat="1">
      <c r="B52" s="374"/>
      <c r="C52" s="426" t="s">
        <v>246</v>
      </c>
      <c r="D52" s="375"/>
      <c r="E52" s="375"/>
      <c r="F52" s="375"/>
      <c r="G52" s="375"/>
      <c r="H52" s="376"/>
      <c r="I52" s="376"/>
      <c r="J52" s="376"/>
      <c r="K52" s="376"/>
    </row>
    <row r="53" spans="2:11" s="344" customFormat="1" ht="27">
      <c r="B53" s="377" t="s">
        <v>526</v>
      </c>
      <c r="C53" s="427">
        <v>46115</v>
      </c>
      <c r="D53" s="378">
        <v>45747</v>
      </c>
      <c r="E53" s="378">
        <v>45762</v>
      </c>
      <c r="F53" s="369" t="s">
        <v>521</v>
      </c>
      <c r="G53" s="369" t="s">
        <v>521</v>
      </c>
      <c r="H53" s="379" t="s">
        <v>708</v>
      </c>
      <c r="I53" s="379" t="s">
        <v>708</v>
      </c>
      <c r="J53" s="411" t="s">
        <v>709</v>
      </c>
      <c r="K53" s="411" t="s">
        <v>709</v>
      </c>
    </row>
    <row r="54" spans="2:11" s="344" customFormat="1">
      <c r="B54" s="377" t="s">
        <v>82</v>
      </c>
      <c r="C54" s="428" t="s">
        <v>246</v>
      </c>
      <c r="D54" s="372"/>
      <c r="E54" s="372"/>
      <c r="F54" s="372"/>
      <c r="G54" s="372"/>
      <c r="H54" s="373" t="s">
        <v>82</v>
      </c>
      <c r="I54" s="373" t="s">
        <v>82</v>
      </c>
      <c r="J54" s="373" t="s">
        <v>82</v>
      </c>
      <c r="K54" s="373" t="s">
        <v>82</v>
      </c>
    </row>
    <row r="55" spans="2:11" s="344" customFormat="1">
      <c r="B55" s="377" t="s">
        <v>710</v>
      </c>
      <c r="C55" s="389" t="s">
        <v>711</v>
      </c>
      <c r="D55" s="372" t="s">
        <v>711</v>
      </c>
      <c r="E55" s="372" t="s">
        <v>712</v>
      </c>
      <c r="F55" s="372" t="s">
        <v>711</v>
      </c>
      <c r="G55" s="372" t="s">
        <v>711</v>
      </c>
      <c r="H55" s="373" t="s">
        <v>712</v>
      </c>
      <c r="I55" s="373" t="s">
        <v>712</v>
      </c>
      <c r="J55" s="373" t="s">
        <v>713</v>
      </c>
      <c r="K55" s="373" t="s">
        <v>713</v>
      </c>
    </row>
    <row r="56" spans="2:11" s="344" customFormat="1">
      <c r="B56" s="377"/>
      <c r="C56" s="429"/>
      <c r="D56" s="343"/>
      <c r="E56" s="343"/>
      <c r="F56" s="343"/>
      <c r="G56" s="343"/>
      <c r="H56" s="380"/>
      <c r="I56" s="380"/>
      <c r="J56" s="380"/>
      <c r="K56" s="380"/>
    </row>
    <row r="57" spans="2:11" s="344" customFormat="1" ht="30">
      <c r="B57" s="381" t="s">
        <v>535</v>
      </c>
      <c r="C57" s="409" t="s">
        <v>714</v>
      </c>
      <c r="D57" s="409" t="s">
        <v>715</v>
      </c>
      <c r="E57" s="409" t="s">
        <v>716</v>
      </c>
      <c r="F57" s="409" t="s">
        <v>717</v>
      </c>
      <c r="G57" s="409" t="s">
        <v>718</v>
      </c>
      <c r="H57" s="409" t="s">
        <v>719</v>
      </c>
      <c r="I57" s="409" t="s">
        <v>719</v>
      </c>
      <c r="J57" s="409" t="s">
        <v>720</v>
      </c>
      <c r="K57" s="409" t="s">
        <v>720</v>
      </c>
    </row>
    <row r="58" spans="2:11" s="344" customFormat="1" ht="30">
      <c r="C58" s="341" t="s">
        <v>721</v>
      </c>
      <c r="D58" s="341" t="s">
        <v>722</v>
      </c>
      <c r="E58" s="341" t="s">
        <v>723</v>
      </c>
      <c r="F58" s="412" t="s">
        <v>724</v>
      </c>
      <c r="G58" s="413" t="s">
        <v>722</v>
      </c>
      <c r="H58" s="413" t="s">
        <v>725</v>
      </c>
      <c r="I58" s="413" t="s">
        <v>726</v>
      </c>
      <c r="J58" s="413" t="s">
        <v>725</v>
      </c>
      <c r="K58" s="413" t="s">
        <v>726</v>
      </c>
    </row>
    <row r="59" spans="2:11" s="344" customFormat="1">
      <c r="C59" s="341" t="s">
        <v>727</v>
      </c>
      <c r="D59" s="341" t="s">
        <v>728</v>
      </c>
      <c r="E59" s="341" t="s">
        <v>729</v>
      </c>
      <c r="F59" s="412" t="s">
        <v>730</v>
      </c>
      <c r="G59" s="412" t="s">
        <v>730</v>
      </c>
      <c r="H59" s="412" t="s">
        <v>731</v>
      </c>
      <c r="I59" s="412" t="s">
        <v>732</v>
      </c>
      <c r="J59" s="412" t="s">
        <v>733</v>
      </c>
      <c r="K59" s="412" t="s">
        <v>734</v>
      </c>
    </row>
    <row r="60" spans="2:11" s="344" customFormat="1">
      <c r="C60" s="341" t="s">
        <v>735</v>
      </c>
      <c r="D60" s="341" t="s">
        <v>736</v>
      </c>
      <c r="E60" s="341" t="s">
        <v>737</v>
      </c>
      <c r="F60" s="412" t="s">
        <v>738</v>
      </c>
      <c r="G60" s="412" t="s">
        <v>738</v>
      </c>
      <c r="H60" s="412" t="s">
        <v>739</v>
      </c>
      <c r="I60" s="412" t="s">
        <v>739</v>
      </c>
      <c r="J60" s="412" t="s">
        <v>738</v>
      </c>
      <c r="K60" s="412" t="s">
        <v>738</v>
      </c>
    </row>
    <row r="61" spans="2:11" s="344" customFormat="1" ht="15" customHeight="1">
      <c r="C61" s="342"/>
      <c r="D61" s="342"/>
      <c r="E61" s="342"/>
      <c r="H61" s="363"/>
      <c r="I61" s="363"/>
      <c r="J61" s="363"/>
      <c r="K61" s="363"/>
    </row>
    <row r="62" spans="2:11" s="344" customFormat="1" ht="15" customHeight="1">
      <c r="C62" s="342"/>
      <c r="D62" s="342"/>
      <c r="E62" s="342"/>
      <c r="H62" s="363"/>
      <c r="I62" s="363"/>
      <c r="J62" s="363"/>
      <c r="K62" s="363"/>
    </row>
    <row r="63" spans="2:11" s="344" customFormat="1" ht="15" customHeight="1">
      <c r="C63" s="342"/>
      <c r="D63" s="342"/>
      <c r="E63" s="342"/>
      <c r="H63" s="363"/>
      <c r="I63" s="363"/>
      <c r="J63" s="363"/>
      <c r="K63" s="363"/>
    </row>
    <row r="64" spans="2:11" s="344" customFormat="1" ht="15" customHeight="1">
      <c r="C64" s="342"/>
      <c r="D64" s="342"/>
      <c r="E64" s="342"/>
      <c r="H64" s="363"/>
      <c r="I64" s="363"/>
      <c r="J64" s="363"/>
      <c r="K64" s="363"/>
    </row>
    <row r="65" spans="3:11" s="344" customFormat="1" ht="15" customHeight="1">
      <c r="C65" s="342"/>
      <c r="D65" s="342"/>
      <c r="E65" s="342"/>
      <c r="H65" s="363"/>
      <c r="I65" s="363"/>
      <c r="J65" s="363"/>
      <c r="K65" s="363"/>
    </row>
    <row r="66" spans="3:11" s="344" customFormat="1" ht="15" customHeight="1">
      <c r="C66" s="342"/>
      <c r="D66" s="342"/>
      <c r="E66" s="342"/>
      <c r="H66" s="363"/>
      <c r="I66" s="363"/>
      <c r="J66" s="363"/>
      <c r="K66" s="363"/>
    </row>
    <row r="67" spans="3:11" s="344" customFormat="1" ht="15" customHeight="1">
      <c r="C67" s="342"/>
      <c r="D67" s="342"/>
      <c r="E67" s="342"/>
      <c r="H67" s="363"/>
      <c r="I67" s="363"/>
      <c r="J67" s="363"/>
      <c r="K67" s="363"/>
    </row>
    <row r="68" spans="3:11" s="344" customFormat="1" ht="15" customHeight="1">
      <c r="C68" s="342"/>
      <c r="D68" s="342"/>
      <c r="E68" s="342"/>
      <c r="H68" s="363"/>
      <c r="I68" s="363"/>
      <c r="J68" s="363"/>
      <c r="K68" s="363"/>
    </row>
    <row r="69" spans="3:11" s="344" customFormat="1" ht="15" customHeight="1">
      <c r="C69" s="342"/>
      <c r="D69" s="342"/>
      <c r="E69" s="342"/>
      <c r="H69" s="363"/>
      <c r="I69" s="363"/>
      <c r="J69" s="363"/>
      <c r="K69" s="363"/>
    </row>
    <row r="70" spans="3:11" s="344" customFormat="1" ht="15" customHeight="1">
      <c r="C70" s="342"/>
      <c r="D70" s="342"/>
      <c r="E70" s="342"/>
      <c r="H70" s="363"/>
      <c r="I70" s="363"/>
      <c r="J70" s="363"/>
      <c r="K70" s="363"/>
    </row>
    <row r="71" spans="3:11" s="344" customFormat="1" ht="15" customHeight="1">
      <c r="C71" s="342"/>
      <c r="D71" s="342"/>
      <c r="E71" s="342"/>
      <c r="H71" s="363"/>
      <c r="I71" s="363"/>
      <c r="J71" s="363"/>
      <c r="K71" s="363"/>
    </row>
    <row r="72" spans="3:11" s="344" customFormat="1" ht="15" customHeight="1">
      <c r="C72" s="342"/>
      <c r="D72" s="342"/>
      <c r="E72" s="342"/>
      <c r="H72" s="363"/>
      <c r="I72" s="363"/>
      <c r="J72" s="363"/>
      <c r="K72" s="363"/>
    </row>
    <row r="73" spans="3:11" s="344" customFormat="1" ht="15" customHeight="1">
      <c r="C73" s="342"/>
      <c r="D73" s="342"/>
      <c r="E73" s="342"/>
      <c r="H73" s="363"/>
      <c r="I73" s="363"/>
      <c r="J73" s="363"/>
      <c r="K73" s="363"/>
    </row>
    <row r="74" spans="3:11" s="344" customFormat="1" ht="15" customHeight="1">
      <c r="C74" s="342"/>
      <c r="D74" s="342"/>
      <c r="E74" s="342"/>
      <c r="H74" s="363"/>
      <c r="I74" s="363"/>
      <c r="J74" s="363"/>
      <c r="K74" s="363"/>
    </row>
    <row r="75" spans="3:11" s="344" customFormat="1" ht="15" customHeight="1">
      <c r="C75" s="342"/>
      <c r="D75" s="342"/>
      <c r="E75" s="342"/>
      <c r="H75" s="363"/>
      <c r="I75" s="363"/>
      <c r="J75" s="363"/>
      <c r="K75" s="363"/>
    </row>
    <row r="76" spans="3:11" s="344" customFormat="1" ht="15" customHeight="1">
      <c r="C76" s="342"/>
      <c r="D76" s="342"/>
      <c r="E76" s="342"/>
      <c r="H76" s="363"/>
      <c r="I76" s="363"/>
      <c r="J76" s="363"/>
      <c r="K76" s="363"/>
    </row>
    <row r="77" spans="3:11" s="344" customFormat="1" ht="15" customHeight="1">
      <c r="C77" s="342"/>
      <c r="D77" s="342"/>
      <c r="E77" s="342"/>
      <c r="H77" s="363"/>
      <c r="I77" s="363"/>
      <c r="J77" s="363"/>
      <c r="K77" s="363"/>
    </row>
    <row r="78" spans="3:11" s="344" customFormat="1" ht="15" customHeight="1">
      <c r="C78" s="342"/>
      <c r="D78" s="342"/>
      <c r="E78" s="342"/>
      <c r="H78" s="363"/>
      <c r="I78" s="363"/>
      <c r="J78" s="363"/>
      <c r="K78" s="363"/>
    </row>
    <row r="79" spans="3:11" s="344" customFormat="1" ht="15" customHeight="1">
      <c r="C79" s="342"/>
      <c r="D79" s="342"/>
      <c r="E79" s="342"/>
      <c r="H79" s="363"/>
      <c r="I79" s="363"/>
      <c r="J79" s="363"/>
      <c r="K79" s="363"/>
    </row>
    <row r="80" spans="3:11" s="344" customFormat="1" ht="15" customHeight="1">
      <c r="C80" s="342"/>
      <c r="D80" s="342"/>
      <c r="E80" s="342"/>
      <c r="H80" s="363"/>
      <c r="I80" s="363"/>
      <c r="J80" s="363"/>
      <c r="K80" s="363"/>
    </row>
    <row r="81" spans="3:11" s="344" customFormat="1" ht="15" customHeight="1">
      <c r="C81" s="342"/>
      <c r="D81" s="342"/>
      <c r="E81" s="342"/>
      <c r="H81" s="363"/>
      <c r="I81" s="363"/>
      <c r="J81" s="363"/>
      <c r="K81" s="363"/>
    </row>
    <row r="82" spans="3:11" s="344" customFormat="1" ht="15" customHeight="1">
      <c r="C82" s="342"/>
      <c r="D82" s="342"/>
      <c r="E82" s="342"/>
      <c r="H82" s="363"/>
      <c r="I82" s="363"/>
      <c r="J82" s="363"/>
      <c r="K82" s="363"/>
    </row>
    <row r="83" spans="3:11" s="344" customFormat="1" ht="15" customHeight="1">
      <c r="C83" s="342"/>
      <c r="D83" s="342"/>
      <c r="E83" s="342"/>
      <c r="H83" s="363"/>
      <c r="I83" s="363"/>
      <c r="J83" s="363"/>
      <c r="K83" s="363"/>
    </row>
    <row r="84" spans="3:11" s="344" customFormat="1" ht="15" customHeight="1">
      <c r="C84" s="342"/>
      <c r="D84" s="342"/>
      <c r="E84" s="342"/>
      <c r="H84" s="363"/>
      <c r="I84" s="363"/>
      <c r="J84" s="363"/>
      <c r="K84" s="363"/>
    </row>
    <row r="85" spans="3:11" s="344" customFormat="1" ht="15" customHeight="1">
      <c r="C85" s="342"/>
      <c r="D85" s="342"/>
      <c r="E85" s="342"/>
      <c r="H85" s="363"/>
      <c r="I85" s="363"/>
      <c r="J85" s="363"/>
      <c r="K85" s="363"/>
    </row>
    <row r="86" spans="3:11" s="344" customFormat="1" ht="15" customHeight="1">
      <c r="C86" s="342"/>
      <c r="D86" s="342"/>
      <c r="E86" s="342"/>
      <c r="H86" s="363"/>
      <c r="I86" s="363"/>
      <c r="J86" s="363"/>
      <c r="K86" s="363"/>
    </row>
    <row r="87" spans="3:11" s="344" customFormat="1" ht="15" customHeight="1">
      <c r="C87" s="342"/>
      <c r="D87" s="342"/>
      <c r="E87" s="342"/>
      <c r="H87" s="363"/>
      <c r="I87" s="363"/>
      <c r="J87" s="363"/>
      <c r="K87" s="363"/>
    </row>
    <row r="88" spans="3:11" s="344" customFormat="1" ht="15" customHeight="1">
      <c r="C88" s="342"/>
      <c r="D88" s="342"/>
      <c r="E88" s="342"/>
      <c r="H88" s="363"/>
      <c r="I88" s="363"/>
      <c r="J88" s="363"/>
      <c r="K88" s="363"/>
    </row>
  </sheetData>
  <protectedRanges>
    <protectedRange algorithmName="SHA-512" hashValue="BxxURwrs+SG6qhN+RUAXueBfOtSlbNGsztiTZRxyIoCs9tweWTGwzrICskAfbuUZFcd2/41dWl6f8q9oOv5RTw==" saltValue="mfTzTJb+jVS9+3uTRt0V/Q==" spinCount="100000" sqref="D24:E24 D46:E46 D30:G30 D11:G11" name="Range1_2" securityDescriptor="O:WDG:WDD:(A;;CC;;;S-1-5-21-2496373424-2134928991-926383051-63041)"/>
    <protectedRange algorithmName="SHA-512" hashValue="BxxURwrs+SG6qhN+RUAXueBfOtSlbNGsztiTZRxyIoCs9tweWTGwzrICskAfbuUZFcd2/41dWl6f8q9oOv5RTw==" saltValue="mfTzTJb+jVS9+3uTRt0V/Q==" spinCount="100000" sqref="D34:E34 D32:E32 D17:E17 D38:E38 D15:G15" name="Range1_3" securityDescriptor="O:WDG:WDD:(A;;CC;;;S-1-5-21-2496373424-2134928991-926383051-63041)"/>
    <protectedRange algorithmName="SHA-512" hashValue="BxxURwrs+SG6qhN+RUAXueBfOtSlbNGsztiTZRxyIoCs9tweWTGwzrICskAfbuUZFcd2/41dWl6f8q9oOv5RTw==" saltValue="mfTzTJb+jVS9+3uTRt0V/Q==" spinCount="100000" sqref="F55:G55 F13:G13 F25:G25 F23:G23 F48:G48 D33:E33 D53:E53 D47:E49 D12:E14 D18:E23 D39:E45 D25:E26 D28:E29 D27 D35:E37 C43 C57:K57" name="Range1_5" securityDescriptor="O:WDG:WDD:(A;;CC;;;S-1-5-21-2496373424-2134928991-926383051-63041)"/>
    <protectedRange algorithmName="SHA-512" hashValue="BxxURwrs+SG6qhN+RUAXueBfOtSlbNGsztiTZRxyIoCs9tweWTGwzrICskAfbuUZFcd2/41dWl6f8q9oOv5RTw==" saltValue="mfTzTJb+jVS9+3uTRt0V/Q==" spinCount="100000" sqref="F40:G47 F12:G12 F5:G6 F17:G22 F8:G8 F31:G37 F14:G14 F10:G10 F26:G29 F24:G24 F49:G53 H43:K44 F58:K60" name="Range1" securityDescriptor="O:WDG:WDD:(A;;CC;;;S-1-5-21-2496373424-2134928991-926383051-63041)"/>
    <protectedRange algorithmName="SHA-512" hashValue="BxxURwrs+SG6qhN+RUAXueBfOtSlbNGsztiTZRxyIoCs9tweWTGwzrICskAfbuUZFcd2/41dWl6f8q9oOv5RTw==" saltValue="mfTzTJb+jVS9+3uTRt0V/Q==" spinCount="100000" sqref="H11 H30 J11 J30" name="Range1_2_1" securityDescriptor="O:WDG:WDD:(A;;CC;;;S-1-5-21-2496373424-2134928991-926383051-63041)"/>
    <protectedRange algorithmName="SHA-512" hashValue="BxxURwrs+SG6qhN+RUAXueBfOtSlbNGsztiTZRxyIoCs9tweWTGwzrICskAfbuUZFcd2/41dWl6f8q9oOv5RTw==" saltValue="mfTzTJb+jVS9+3uTRt0V/Q==" spinCount="100000" sqref="H15 J15" name="Range1_3_1" securityDescriptor="O:WDG:WDD:(A;;CC;;;S-1-5-21-2496373424-2134928991-926383051-63041)"/>
    <protectedRange algorithmName="SHA-512" hashValue="BxxURwrs+SG6qhN+RUAXueBfOtSlbNGsztiTZRxyIoCs9tweWTGwzrICskAfbuUZFcd2/41dWl6f8q9oOv5RTw==" saltValue="mfTzTJb+jVS9+3uTRt0V/Q==" spinCount="100000" sqref="H53 J53 H13:K13" name="Range1_5_1" securityDescriptor="O:WDG:WDD:(A;;CC;;;S-1-5-21-2496373424-2134928991-926383051-63041)"/>
    <protectedRange algorithmName="SHA-512" hashValue="BxxURwrs+SG6qhN+RUAXueBfOtSlbNGsztiTZRxyIoCs9tweWTGwzrICskAfbuUZFcd2/41dWl6f8q9oOv5RTw==" saltValue="mfTzTJb+jVS9+3uTRt0V/Q==" spinCount="100000" sqref="H14 H12 H31:H42 H5:H10 H17:H29 I27:I28 J14 J12 J31:J42 J5:J10 J17:J29 K27:K28 K6:K7 J45:J51 H45:H51" name="Range1_1" securityDescriptor="O:WDG:WDD:(A;;CC;;;S-1-5-21-2496373424-2134928991-926383051-63041)"/>
    <protectedRange algorithmName="SHA-512" hashValue="BxxURwrs+SG6qhN+RUAXueBfOtSlbNGsztiTZRxyIoCs9tweWTGwzrICskAfbuUZFcd2/41dWl6f8q9oOv5RTw==" saltValue="mfTzTJb+jVS9+3uTRt0V/Q==" spinCount="100000" sqref="I11 I30 K11 K30" name="Range1_2_2" securityDescriptor="O:WDG:WDD:(A;;CC;;;S-1-5-21-2496373424-2134928991-926383051-63041)"/>
    <protectedRange algorithmName="SHA-512" hashValue="BxxURwrs+SG6qhN+RUAXueBfOtSlbNGsztiTZRxyIoCs9tweWTGwzrICskAfbuUZFcd2/41dWl6f8q9oOv5RTw==" saltValue="mfTzTJb+jVS9+3uTRt0V/Q==" spinCount="100000" sqref="I15 K15" name="Range1_3_2" securityDescriptor="O:WDG:WDD:(A;;CC;;;S-1-5-21-2496373424-2134928991-926383051-63041)"/>
    <protectedRange algorithmName="SHA-512" hashValue="BxxURwrs+SG6qhN+RUAXueBfOtSlbNGsztiTZRxyIoCs9tweWTGwzrICskAfbuUZFcd2/41dWl6f8q9oOv5RTw==" saltValue="mfTzTJb+jVS9+3uTRt0V/Q==" spinCount="100000" sqref="I53 K53" name="Range1_5_2" securityDescriptor="O:WDG:WDD:(A;;CC;;;S-1-5-21-2496373424-2134928991-926383051-63041)"/>
    <protectedRange algorithmName="SHA-512" hashValue="BxxURwrs+SG6qhN+RUAXueBfOtSlbNGsztiTZRxyIoCs9tweWTGwzrICskAfbuUZFcd2/41dWl6f8q9oOv5RTw==" saltValue="mfTzTJb+jVS9+3uTRt0V/Q==" spinCount="100000" sqref="I14 I12 I31:I42 I5:I10 I17:I26 I29 K14 K12 K31:K42 K5 K17:K26 K29 K8:K10 I45:I51 K45:K51" name="Range1_4" securityDescriptor="O:WDG:WDD:(A;;CC;;;S-1-5-21-2496373424-2134928991-926383051-63041)"/>
    <protectedRange algorithmName="SHA-512" hashValue="BxxURwrs+SG6qhN+RUAXueBfOtSlbNGsztiTZRxyIoCs9tweWTGwzrICskAfbuUZFcd2/41dWl6f8q9oOv5RTw==" saltValue="mfTzTJb+jVS9+3uTRt0V/Q==" spinCount="100000" sqref="E27" name="Range1_5_3" securityDescriptor="O:WDG:WDD:(A;;CC;;;S-1-5-21-2496373424-2134928991-926383051-63041)"/>
    <protectedRange algorithmName="SHA-512" hashValue="BxxURwrs+SG6qhN+RUAXueBfOtSlbNGsztiTZRxyIoCs9tweWTGwzrICskAfbuUZFcd2/41dWl6f8q9oOv5RTw==" saltValue="mfTzTJb+jVS9+3uTRt0V/Q==" spinCount="100000" sqref="C11 C24 C46 C29:C30" name="Range1_2_4" securityDescriptor="O:WDG:WDD:(A;;CC;;;S-1-5-21-2496373424-2134928991-926383051-63041)"/>
    <protectedRange algorithmName="SHA-512" hashValue="BxxURwrs+SG6qhN+RUAXueBfOtSlbNGsztiTZRxyIoCs9tweWTGwzrICskAfbuUZFcd2/41dWl6f8q9oOv5RTw==" saltValue="mfTzTJb+jVS9+3uTRt0V/Q==" spinCount="100000" sqref="C15 C17 C38 C34 C32" name="Range1_3_4" securityDescriptor="O:WDG:WDD:(A;;CC;;;S-1-5-21-2496373424-2134928991-926383051-63041)"/>
    <protectedRange algorithmName="SHA-512" hashValue="BxxURwrs+SG6qhN+RUAXueBfOtSlbNGsztiTZRxyIoCs9tweWTGwzrICskAfbuUZFcd2/41dWl6f8q9oOv5RTw==" saltValue="mfTzTJb+jVS9+3uTRt0V/Q==" spinCount="100000" sqref="C53 C12:C14 C18:C23 C39:C42 C35:C37 C25:C28 C33 C47:C49 C44:C45" name="Range1_5_5" securityDescriptor="O:WDG:WDD:(A;;CC;;;S-1-5-21-2496373424-2134928991-926383051-63041)"/>
  </protectedRanges>
  <phoneticPr fontId="10" type="noConversion"/>
  <pageMargins left="0.7" right="0.7" top="0.75" bottom="0.75" header="0.3" footer="0.3"/>
  <pageSetup paperSize="9" orientation="portrait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B8D9B-43A8-4049-8C78-21E38E30C9E1}">
  <dimension ref="A1:V60"/>
  <sheetViews>
    <sheetView zoomScale="115" zoomScaleNormal="115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D40" sqref="D40"/>
    </sheetView>
  </sheetViews>
  <sheetFormatPr defaultColWidth="9" defaultRowHeight="15"/>
  <cols>
    <col min="1" max="1" width="3.5" style="1" customWidth="1"/>
    <col min="2" max="2" width="28.25" style="4" customWidth="1"/>
    <col min="3" max="3" width="78.25" style="36" customWidth="1"/>
    <col min="4" max="4" width="78.75" style="36" bestFit="1" customWidth="1"/>
    <col min="5" max="5" width="78.25" style="1" hidden="1" customWidth="1"/>
    <col min="6" max="6" width="78.75" style="4" bestFit="1" customWidth="1"/>
    <col min="7" max="7" width="76" style="4" bestFit="1" customWidth="1"/>
    <col min="8" max="8" width="78.75" style="4" bestFit="1" customWidth="1"/>
    <col min="9" max="9" width="75" style="4" bestFit="1" customWidth="1"/>
    <col min="10" max="10" width="84.5" style="4" customWidth="1"/>
    <col min="11" max="11" width="81.25" style="4" customWidth="1"/>
    <col min="12" max="12" width="80.75" style="4" bestFit="1" customWidth="1"/>
    <col min="13" max="13" width="75.5" style="4" bestFit="1" customWidth="1"/>
    <col min="14" max="14" width="76" style="4" bestFit="1" customWidth="1"/>
    <col min="15" max="15" width="81" style="4" customWidth="1"/>
    <col min="16" max="16" width="74.08203125" style="4" customWidth="1"/>
    <col min="17" max="17" width="71.5" style="4" customWidth="1"/>
    <col min="18" max="20" width="75.5" style="4" customWidth="1"/>
    <col min="21" max="21" width="73.08203125" style="4" customWidth="1"/>
    <col min="22" max="22" width="74.33203125" style="4" customWidth="1"/>
    <col min="23" max="16384" width="9" style="1"/>
  </cols>
  <sheetData>
    <row r="1" spans="2:22">
      <c r="U1" s="1"/>
      <c r="V1" s="1"/>
    </row>
    <row r="2" spans="2:22" ht="27">
      <c r="B2" s="440" t="s">
        <v>740</v>
      </c>
      <c r="U2" s="1"/>
      <c r="V2" s="1"/>
    </row>
    <row r="3" spans="2:22">
      <c r="U3" s="1"/>
      <c r="V3" s="1"/>
    </row>
    <row r="4" spans="2:22" s="36" customFormat="1">
      <c r="B4" s="4"/>
    </row>
    <row r="5" spans="2:22">
      <c r="B5" s="8"/>
      <c r="C5" s="208" t="s">
        <v>741</v>
      </c>
      <c r="D5" s="208" t="s">
        <v>742</v>
      </c>
      <c r="E5" s="208" t="s">
        <v>743</v>
      </c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9"/>
      <c r="V5" s="209"/>
    </row>
    <row r="6" spans="2:22">
      <c r="B6" s="8"/>
      <c r="C6" s="210"/>
      <c r="D6" s="210"/>
      <c r="E6" s="210" t="s">
        <v>744</v>
      </c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1"/>
      <c r="V6" s="211"/>
    </row>
    <row r="7" spans="2:22" ht="17.5">
      <c r="B7" s="13" t="s">
        <v>260</v>
      </c>
      <c r="C7" s="212" t="s">
        <v>120</v>
      </c>
      <c r="D7" s="212" t="s">
        <v>127</v>
      </c>
      <c r="E7" s="212"/>
      <c r="F7" s="212"/>
      <c r="G7" s="212"/>
      <c r="H7" s="212"/>
      <c r="I7" s="212"/>
      <c r="J7" s="212"/>
      <c r="K7" s="212"/>
      <c r="L7" s="212"/>
      <c r="M7" s="212"/>
      <c r="N7" s="212"/>
      <c r="O7" s="212"/>
      <c r="P7" s="212"/>
      <c r="Q7" s="212"/>
      <c r="R7" s="212"/>
      <c r="S7" s="212"/>
      <c r="T7" s="212"/>
      <c r="U7" s="213"/>
      <c r="V7" s="213"/>
    </row>
    <row r="8" spans="2:22" s="25" customFormat="1">
      <c r="B8" s="5"/>
      <c r="C8" s="6"/>
      <c r="D8" s="6"/>
      <c r="E8" s="6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141"/>
      <c r="V8" s="141"/>
    </row>
    <row r="9" spans="2:22" s="25" customFormat="1" ht="135.75" customHeight="1">
      <c r="B9" s="5" t="s">
        <v>745</v>
      </c>
      <c r="C9" s="198" t="s">
        <v>746</v>
      </c>
      <c r="D9" s="198" t="s">
        <v>746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141"/>
      <c r="V9" s="141"/>
    </row>
    <row r="10" spans="2:22" s="25" customFormat="1">
      <c r="B10" s="5"/>
      <c r="C10" s="6"/>
      <c r="D10" s="6"/>
      <c r="E10" s="6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141"/>
      <c r="V10" s="141"/>
    </row>
    <row r="11" spans="2:22" s="215" customFormat="1">
      <c r="B11" s="5" t="s">
        <v>281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214"/>
      <c r="V11" s="214"/>
    </row>
    <row r="12" spans="2:22" s="25" customFormat="1">
      <c r="B12" s="5"/>
      <c r="C12" s="6"/>
      <c r="D12" s="6"/>
      <c r="E12" s="6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141"/>
      <c r="V12" s="141"/>
    </row>
    <row r="13" spans="2:22" s="25" customFormat="1" ht="78.75" customHeight="1">
      <c r="B13" s="5" t="s">
        <v>284</v>
      </c>
      <c r="C13" s="7" t="s">
        <v>747</v>
      </c>
      <c r="D13" s="7" t="s">
        <v>747</v>
      </c>
      <c r="E13" s="7" t="s">
        <v>748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198"/>
      <c r="T13" s="7"/>
      <c r="U13" s="141"/>
      <c r="V13" s="141"/>
    </row>
    <row r="14" spans="2:22" s="25" customFormat="1" ht="55.5" customHeight="1">
      <c r="B14" s="5" t="s">
        <v>749</v>
      </c>
      <c r="C14" s="55" t="s">
        <v>750</v>
      </c>
      <c r="D14" s="55" t="s">
        <v>750</v>
      </c>
      <c r="E14" s="7" t="s">
        <v>751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141"/>
      <c r="V14" s="141"/>
    </row>
    <row r="15" spans="2:22" s="25" customFormat="1" ht="52.5" customHeight="1">
      <c r="B15" s="5" t="s">
        <v>752</v>
      </c>
      <c r="C15" s="455" t="s">
        <v>753</v>
      </c>
      <c r="D15" s="55" t="s">
        <v>753</v>
      </c>
      <c r="E15" s="7" t="s">
        <v>754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141"/>
      <c r="V15" s="141"/>
    </row>
    <row r="16" spans="2:22" s="25" customFormat="1" ht="265.5" customHeight="1">
      <c r="B16" s="16" t="s">
        <v>755</v>
      </c>
      <c r="C16" s="7" t="s">
        <v>756</v>
      </c>
      <c r="D16" s="454" t="s">
        <v>757</v>
      </c>
      <c r="E16" s="7" t="s">
        <v>758</v>
      </c>
      <c r="F16" s="7"/>
      <c r="G16" s="198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198"/>
      <c r="T16" s="7"/>
      <c r="U16" s="141"/>
      <c r="V16" s="141"/>
    </row>
    <row r="17" spans="2:22" s="25" customFormat="1">
      <c r="B17" s="5" t="s">
        <v>759</v>
      </c>
      <c r="C17" s="7" t="s">
        <v>237</v>
      </c>
      <c r="D17" s="7" t="s">
        <v>237</v>
      </c>
      <c r="E17" s="7" t="s">
        <v>760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141"/>
      <c r="V17" s="141"/>
    </row>
    <row r="18" spans="2:22" s="25" customFormat="1" ht="64.5" customHeight="1">
      <c r="B18" s="5" t="s">
        <v>761</v>
      </c>
      <c r="C18" s="7" t="s">
        <v>762</v>
      </c>
      <c r="D18" s="7" t="s">
        <v>763</v>
      </c>
      <c r="E18" s="7" t="s">
        <v>79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141"/>
      <c r="V18" s="141"/>
    </row>
    <row r="19" spans="2:22" s="25" customFormat="1" ht="30">
      <c r="B19" s="5" t="s">
        <v>375</v>
      </c>
      <c r="C19" s="7" t="s">
        <v>764</v>
      </c>
      <c r="D19" s="7" t="s">
        <v>765</v>
      </c>
      <c r="E19" s="7" t="s">
        <v>766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141"/>
      <c r="V19" s="141"/>
    </row>
    <row r="20" spans="2:22" s="25" customFormat="1">
      <c r="B20" s="5" t="s">
        <v>767</v>
      </c>
      <c r="C20" s="7" t="s">
        <v>768</v>
      </c>
      <c r="D20" s="7" t="s">
        <v>768</v>
      </c>
      <c r="E20" s="7" t="s">
        <v>769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141"/>
      <c r="V20" s="141"/>
    </row>
    <row r="21" spans="2:22" s="25" customFormat="1">
      <c r="B21" s="5" t="s">
        <v>770</v>
      </c>
      <c r="C21" s="7" t="s">
        <v>771</v>
      </c>
      <c r="D21" s="7" t="s">
        <v>771</v>
      </c>
      <c r="E21" s="7" t="s">
        <v>769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141"/>
      <c r="V21" s="141"/>
    </row>
    <row r="22" spans="2:22" s="25" customFormat="1">
      <c r="B22" s="5"/>
      <c r="C22" s="6"/>
      <c r="D22" s="6"/>
      <c r="E22" s="6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141"/>
      <c r="V22" s="141"/>
    </row>
    <row r="23" spans="2:22" s="25" customFormat="1" ht="213.75" customHeight="1">
      <c r="B23" s="5" t="s">
        <v>168</v>
      </c>
      <c r="C23" s="198" t="s">
        <v>772</v>
      </c>
      <c r="D23" s="198" t="s">
        <v>773</v>
      </c>
      <c r="E23" s="7" t="s">
        <v>774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141"/>
      <c r="V23" s="141"/>
    </row>
    <row r="24" spans="2:22" s="25" customFormat="1" ht="47">
      <c r="B24" s="5" t="s">
        <v>775</v>
      </c>
      <c r="C24" s="7" t="s">
        <v>776</v>
      </c>
      <c r="D24" s="7" t="s">
        <v>777</v>
      </c>
      <c r="E24" s="7" t="s">
        <v>778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141"/>
      <c r="V24" s="141"/>
    </row>
    <row r="25" spans="2:22" s="25" customFormat="1" ht="41.25" customHeight="1">
      <c r="B25" s="5" t="s">
        <v>779</v>
      </c>
      <c r="C25" s="7" t="s">
        <v>780</v>
      </c>
      <c r="D25" s="7" t="s">
        <v>781</v>
      </c>
      <c r="E25" s="7" t="s">
        <v>782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141"/>
      <c r="V25" s="141"/>
    </row>
    <row r="26" spans="2:22" s="25" customFormat="1">
      <c r="B26" s="5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141"/>
      <c r="V26" s="141"/>
    </row>
    <row r="27" spans="2:22" s="25" customFormat="1" ht="40.5" customHeight="1">
      <c r="B27" s="5" t="s">
        <v>783</v>
      </c>
      <c r="C27" s="7" t="s">
        <v>784</v>
      </c>
      <c r="D27" s="7" t="s">
        <v>785</v>
      </c>
      <c r="E27" s="7" t="s">
        <v>786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141"/>
      <c r="V27" s="141"/>
    </row>
    <row r="28" spans="2:22" s="25" customFormat="1">
      <c r="B28" s="5" t="s">
        <v>205</v>
      </c>
      <c r="C28" s="7">
        <v>5.4</v>
      </c>
      <c r="D28" s="7">
        <v>5.4</v>
      </c>
      <c r="E28" s="7">
        <v>5.3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141"/>
      <c r="V28" s="141"/>
    </row>
    <row r="29" spans="2:22" s="25" customFormat="1">
      <c r="B29" s="5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141"/>
      <c r="V29" s="141"/>
    </row>
    <row r="30" spans="2:22" s="25" customFormat="1" ht="118.5" customHeight="1">
      <c r="B30" s="5" t="s">
        <v>787</v>
      </c>
      <c r="C30" s="7" t="s">
        <v>788</v>
      </c>
      <c r="D30" s="198" t="s">
        <v>788</v>
      </c>
      <c r="E30" s="7" t="s">
        <v>789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141"/>
      <c r="V30" s="141"/>
    </row>
    <row r="31" spans="2:22" s="25" customFormat="1" ht="143.25" customHeight="1">
      <c r="B31" s="5" t="s">
        <v>435</v>
      </c>
      <c r="C31" s="198" t="s">
        <v>790</v>
      </c>
      <c r="D31" s="198" t="s">
        <v>790</v>
      </c>
      <c r="E31" s="7" t="s">
        <v>215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141"/>
      <c r="V31" s="141"/>
    </row>
    <row r="32" spans="2:22" s="25" customFormat="1" ht="305.25" customHeight="1">
      <c r="B32" s="5" t="s">
        <v>791</v>
      </c>
      <c r="C32" s="7" t="s">
        <v>792</v>
      </c>
      <c r="D32" s="7" t="s">
        <v>793</v>
      </c>
      <c r="E32" s="7" t="s">
        <v>794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141"/>
      <c r="V32" s="141"/>
    </row>
    <row r="33" spans="2:22" s="25" customFormat="1" ht="204.75" customHeight="1">
      <c r="B33" s="5" t="s">
        <v>181</v>
      </c>
      <c r="C33" s="7" t="s">
        <v>795</v>
      </c>
      <c r="D33" s="7" t="s">
        <v>796</v>
      </c>
      <c r="E33" s="198" t="s">
        <v>797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417"/>
      <c r="V33" s="417"/>
    </row>
    <row r="34" spans="2:22" s="25" customFormat="1">
      <c r="B34" s="5" t="s">
        <v>457</v>
      </c>
      <c r="C34" s="7" t="s">
        <v>237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141"/>
      <c r="V34" s="141"/>
    </row>
    <row r="35" spans="2:22" s="25" customFormat="1">
      <c r="B35" s="5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141"/>
      <c r="V35" s="141"/>
    </row>
    <row r="36" spans="2:22" s="25" customFormat="1" ht="197.25" customHeight="1">
      <c r="B36" s="5" t="s">
        <v>194</v>
      </c>
      <c r="C36" s="7" t="s">
        <v>798</v>
      </c>
      <c r="D36" s="7" t="s">
        <v>799</v>
      </c>
      <c r="E36" s="7" t="s">
        <v>800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141"/>
      <c r="V36" s="141"/>
    </row>
    <row r="37" spans="2:22" s="25" customFormat="1">
      <c r="B37" s="5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141"/>
      <c r="V37" s="141"/>
    </row>
    <row r="38" spans="2:22" s="25" customFormat="1">
      <c r="B38" s="5" t="s">
        <v>473</v>
      </c>
      <c r="C38" s="7" t="s">
        <v>144</v>
      </c>
      <c r="D38" s="7" t="s">
        <v>144</v>
      </c>
      <c r="E38" s="7" t="s">
        <v>144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141"/>
      <c r="V38" s="141"/>
    </row>
    <row r="39" spans="2:22" s="25" customFormat="1">
      <c r="B39" s="5" t="s">
        <v>801</v>
      </c>
      <c r="C39" s="7" t="s">
        <v>802</v>
      </c>
      <c r="D39" s="7" t="s">
        <v>802</v>
      </c>
      <c r="E39" s="7" t="s">
        <v>803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141"/>
      <c r="V39" s="141"/>
    </row>
    <row r="40" spans="2:22" s="25" customFormat="1" ht="134.25" customHeight="1">
      <c r="B40" s="5" t="s">
        <v>234</v>
      </c>
      <c r="C40" s="455" t="s">
        <v>804</v>
      </c>
      <c r="D40" s="455" t="s">
        <v>804</v>
      </c>
      <c r="E40" s="7" t="s">
        <v>805</v>
      </c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141"/>
      <c r="V40" s="141"/>
    </row>
    <row r="41" spans="2:22" s="25" customFormat="1">
      <c r="B41" s="5"/>
      <c r="C41" s="6"/>
      <c r="D41" s="6"/>
      <c r="E41" s="6"/>
      <c r="F41" s="6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141"/>
      <c r="V41" s="141"/>
    </row>
    <row r="42" spans="2:22" s="25" customFormat="1" ht="60">
      <c r="B42" s="5" t="s">
        <v>695</v>
      </c>
      <c r="C42" s="7" t="s">
        <v>806</v>
      </c>
      <c r="D42" s="7" t="s">
        <v>806</v>
      </c>
      <c r="E42" s="7" t="s">
        <v>807</v>
      </c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141"/>
      <c r="V42" s="141"/>
    </row>
    <row r="43" spans="2:22" s="25" customFormat="1">
      <c r="B43" s="5" t="s">
        <v>494</v>
      </c>
      <c r="C43" s="6" t="s">
        <v>808</v>
      </c>
      <c r="D43" s="6" t="s">
        <v>809</v>
      </c>
      <c r="E43" s="6" t="s">
        <v>810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141"/>
      <c r="V43" s="141"/>
    </row>
    <row r="44" spans="2:22" s="25" customFormat="1" ht="43.5" customHeight="1">
      <c r="B44" s="5" t="s">
        <v>223</v>
      </c>
      <c r="C44" s="7" t="s">
        <v>811</v>
      </c>
      <c r="D44" s="7" t="s">
        <v>812</v>
      </c>
      <c r="E44" s="7" t="s">
        <v>813</v>
      </c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141"/>
      <c r="V44" s="141"/>
    </row>
    <row r="45" spans="2:22" s="25" customFormat="1">
      <c r="B45" s="5" t="s">
        <v>814</v>
      </c>
      <c r="C45" s="7" t="s">
        <v>815</v>
      </c>
      <c r="D45" s="7" t="s">
        <v>815</v>
      </c>
      <c r="E45" s="7" t="s">
        <v>815</v>
      </c>
      <c r="F45" s="7"/>
      <c r="G45" s="7"/>
      <c r="H45" s="7"/>
      <c r="I45" s="7"/>
      <c r="J45" s="7"/>
      <c r="K45" s="56"/>
      <c r="L45" s="7"/>
      <c r="M45" s="7"/>
      <c r="N45" s="7"/>
      <c r="O45" s="7"/>
      <c r="P45" s="7"/>
      <c r="Q45" s="7"/>
      <c r="R45" s="7"/>
      <c r="S45" s="7"/>
      <c r="T45" s="7"/>
      <c r="U45" s="141"/>
      <c r="V45" s="141"/>
    </row>
    <row r="46" spans="2:22" s="25" customFormat="1">
      <c r="B46" s="5"/>
      <c r="C46" s="7"/>
      <c r="D46" s="7"/>
      <c r="E46" s="7"/>
      <c r="F46" s="7"/>
      <c r="G46" s="7"/>
      <c r="H46" s="7"/>
      <c r="I46" s="7"/>
      <c r="J46" s="7"/>
      <c r="K46" s="56"/>
      <c r="L46" s="7"/>
      <c r="M46" s="7"/>
      <c r="N46" s="7"/>
      <c r="O46" s="7"/>
      <c r="P46" s="7"/>
      <c r="Q46" s="7"/>
      <c r="R46" s="7"/>
      <c r="S46" s="7"/>
      <c r="T46" s="7"/>
      <c r="U46" s="141"/>
      <c r="V46" s="141"/>
    </row>
    <row r="47" spans="2:22" s="25" customFormat="1">
      <c r="B47" s="5"/>
      <c r="C47" s="6"/>
      <c r="D47" s="6"/>
      <c r="E47" s="6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141"/>
      <c r="V47" s="141"/>
    </row>
    <row r="48" spans="2:22" s="25" customFormat="1" ht="15.5" thickBot="1">
      <c r="B48" s="8"/>
      <c r="C48" s="56"/>
      <c r="D48" s="56"/>
      <c r="E48" s="52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59"/>
      <c r="V48" s="59"/>
    </row>
    <row r="49" spans="1:22" s="25" customFormat="1">
      <c r="B49" s="441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</row>
    <row r="50" spans="1:22" s="25" customFormat="1">
      <c r="B50" s="8" t="s">
        <v>816</v>
      </c>
      <c r="C50" s="58" t="s">
        <v>817</v>
      </c>
      <c r="D50" s="58" t="s">
        <v>818</v>
      </c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9"/>
      <c r="V50" s="59"/>
    </row>
    <row r="51" spans="1:22" s="25" customFormat="1">
      <c r="B51" s="8" t="s">
        <v>526</v>
      </c>
      <c r="C51" s="58" t="s">
        <v>819</v>
      </c>
      <c r="D51" s="58" t="s">
        <v>820</v>
      </c>
      <c r="E51" s="58" t="s">
        <v>126</v>
      </c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9"/>
      <c r="V51" s="59"/>
    </row>
    <row r="52" spans="1:22" s="59" customFormat="1">
      <c r="B52" s="8" t="s">
        <v>821</v>
      </c>
      <c r="E52" s="59" t="s">
        <v>822</v>
      </c>
      <c r="F52" s="60"/>
      <c r="R52" s="60"/>
      <c r="S52" s="60"/>
      <c r="T52" s="60"/>
    </row>
    <row r="53" spans="1:22" s="59" customFormat="1">
      <c r="B53" s="8" t="s">
        <v>710</v>
      </c>
      <c r="C53" s="59" t="s">
        <v>823</v>
      </c>
      <c r="D53" s="59" t="s">
        <v>824</v>
      </c>
      <c r="E53" s="59" t="s">
        <v>825</v>
      </c>
    </row>
    <row r="54" spans="1:22">
      <c r="U54" s="1"/>
      <c r="V54" s="1"/>
    </row>
    <row r="55" spans="1:22" s="59" customFormat="1">
      <c r="A55" s="59" t="s">
        <v>246</v>
      </c>
      <c r="B55" s="465" t="s">
        <v>535</v>
      </c>
      <c r="C55" s="453">
        <v>1</v>
      </c>
      <c r="D55" s="453">
        <v>1</v>
      </c>
      <c r="E55" s="416" t="s">
        <v>826</v>
      </c>
      <c r="F55" s="416"/>
      <c r="G55" s="416"/>
      <c r="K55" s="59" t="s">
        <v>246</v>
      </c>
      <c r="L55" s="59" t="s">
        <v>246</v>
      </c>
      <c r="M55" s="59" t="s">
        <v>246</v>
      </c>
      <c r="N55" s="59" t="s">
        <v>246</v>
      </c>
      <c r="O55" s="59" t="s">
        <v>246</v>
      </c>
      <c r="R55" s="59" t="s">
        <v>246</v>
      </c>
      <c r="S55" s="59" t="s">
        <v>246</v>
      </c>
      <c r="T55" s="59" t="s">
        <v>246</v>
      </c>
    </row>
    <row r="56" spans="1:22" s="36" customFormat="1">
      <c r="A56" s="36" t="s">
        <v>246</v>
      </c>
      <c r="B56" s="465"/>
      <c r="C56" s="453">
        <v>2</v>
      </c>
      <c r="D56" s="453">
        <v>2</v>
      </c>
      <c r="E56" s="416" t="s">
        <v>827</v>
      </c>
      <c r="F56" s="416"/>
      <c r="G56" s="416"/>
      <c r="K56" s="36" t="s">
        <v>246</v>
      </c>
      <c r="L56" s="36" t="s">
        <v>246</v>
      </c>
      <c r="M56" s="36" t="s">
        <v>246</v>
      </c>
      <c r="N56" s="36" t="s">
        <v>246</v>
      </c>
      <c r="O56" s="36" t="s">
        <v>246</v>
      </c>
      <c r="R56" s="36" t="s">
        <v>246</v>
      </c>
      <c r="S56" s="36" t="s">
        <v>246</v>
      </c>
      <c r="T56" s="36" t="s">
        <v>246</v>
      </c>
    </row>
    <row r="57" spans="1:22">
      <c r="A57" s="1" t="s">
        <v>246</v>
      </c>
      <c r="B57" s="465"/>
      <c r="C57" s="453">
        <v>3</v>
      </c>
      <c r="D57" s="453">
        <v>3</v>
      </c>
      <c r="E57" s="416" t="s">
        <v>828</v>
      </c>
      <c r="F57" s="416"/>
      <c r="G57" s="416"/>
      <c r="K57" s="4" t="s">
        <v>246</v>
      </c>
      <c r="L57" s="4" t="s">
        <v>246</v>
      </c>
      <c r="M57" s="4" t="s">
        <v>246</v>
      </c>
      <c r="N57" s="4" t="s">
        <v>246</v>
      </c>
      <c r="O57" s="4" t="s">
        <v>246</v>
      </c>
      <c r="R57" s="4" t="s">
        <v>246</v>
      </c>
      <c r="S57" s="4" t="s">
        <v>246</v>
      </c>
      <c r="T57" s="4" t="s">
        <v>246</v>
      </c>
      <c r="U57" s="1"/>
      <c r="V57" s="1"/>
    </row>
    <row r="58" spans="1:22">
      <c r="A58" s="1" t="s">
        <v>246</v>
      </c>
      <c r="B58" s="465"/>
      <c r="C58" s="453">
        <v>4</v>
      </c>
      <c r="D58" s="453">
        <v>4</v>
      </c>
      <c r="E58" s="416" t="s">
        <v>829</v>
      </c>
      <c r="F58" s="416"/>
      <c r="G58" s="416"/>
      <c r="K58" s="4" t="s">
        <v>246</v>
      </c>
      <c r="L58" s="4" t="s">
        <v>246</v>
      </c>
      <c r="M58" s="4" t="s">
        <v>246</v>
      </c>
      <c r="N58" s="4" t="s">
        <v>246</v>
      </c>
      <c r="R58" s="4" t="s">
        <v>246</v>
      </c>
      <c r="S58" s="4" t="s">
        <v>246</v>
      </c>
      <c r="T58" s="4" t="s">
        <v>246</v>
      </c>
      <c r="U58" s="1"/>
      <c r="V58" s="1"/>
    </row>
    <row r="59" spans="1:22">
      <c r="U59" s="1"/>
      <c r="V59" s="1"/>
    </row>
    <row r="60" spans="1:22">
      <c r="U60" s="1"/>
      <c r="V60" s="1"/>
    </row>
  </sheetData>
  <sheetProtection formatCells="0" formatColumns="0" formatRows="0" insertColumns="0" insertRows="0" insertHyperlinks="0" deleteColumns="0" deleteRows="0" pivotTables="0"/>
  <protectedRanges>
    <protectedRange algorithmName="SHA-512" hashValue="FFDl6+DQqly+UHQ4pISE5WlYWH27s79H8BUEJZgNEUSzbdeI8WUxAp2PG5D2CeD1oSy04vSZTMAEGPG+DxtI/A==" saltValue="X1CEYNaOApMatZTY9Hie9A==" spinCount="100000" sqref="P31:P32 P34 P22 P25:P28 P5:P13 Q5:Q12 S5:S14 R5:R13 M28 M24 R24:S41 T24:T26 T39 T35 T28 O20:O46 T5:T13 J21:J23 K5:N13 K24 K28 K39 M18 P18 K18 S15:T15 R20:T22 J25:J46 R43:T46 P43:P46 P36:P41 O5:O18 T17:T18 S16:S18 R15:R18 N15:N46 L14:L46 Q14:Q46 P15:P16 B5:B46 E5:J20 E21:I46" name="Range1" securityDescriptor="O:WDG:WDD:(A;;CC;;;S-1-5-21-2496373424-2134928991-926383051-63041)"/>
    <protectedRange algorithmName="SHA-512" hashValue="FFDl6+DQqly+UHQ4pISE5WlYWH27s79H8BUEJZgNEUSzbdeI8WUxAp2PG5D2CeD1oSy04vSZTMAEGPG+DxtI/A==" saltValue="X1CEYNaOApMatZTY9Hie9A==" spinCount="100000" sqref="K29 T29 K17" name="Range1_2" securityDescriptor="O:WDG:WDD:(A;;CC;;;S-1-5-21-2496373424-2134928991-926383051-63041)"/>
    <protectedRange algorithmName="SHA-512" hashValue="FFDl6+DQqly+UHQ4pISE5WlYWH27s79H8BUEJZgNEUSzbdeI8WUxAp2PG5D2CeD1oSy04vSZTMAEGPG+DxtI/A==" saltValue="X1CEYNaOApMatZTY9Hie9A==" spinCount="100000" sqref="K25:K26 K40:K46 T40:T41 K30:K38 T16 T36:T38 T19 T30:T34 K19:K23 K15:K16" name="Range1_1_2" securityDescriptor="O:WDG:WDD:(A;;CC;;;S-1-5-21-2496373424-2134928991-926383051-63041)"/>
    <protectedRange algorithmName="SHA-512" hashValue="FFDl6+DQqly+UHQ4pISE5WlYWH27s79H8BUEJZgNEUSzbdeI8WUxAp2PG5D2CeD1oSy04vSZTMAEGPG+DxtI/A==" saltValue="X1CEYNaOApMatZTY9Hie9A==" spinCount="100000" sqref="P17 M17" name="Range1_3" securityDescriptor="O:WDG:WDD:(A;;CC;;;S-1-5-21-2496373424-2134928991-926383051-63041)"/>
    <protectedRange algorithmName="SHA-512" hashValue="FFDl6+DQqly+UHQ4pISE5WlYWH27s79H8BUEJZgNEUSzbdeI8WUxAp2PG5D2CeD1oSy04vSZTMAEGPG+DxtI/A==" saltValue="X1CEYNaOApMatZTY9Hie9A==" spinCount="100000" sqref="P42 P14 P29:P30 P35 P19:P21 P33 P23:P24 M29:M46 R14 T14 N14 K27 O19 T27 R19:S19 M19:M23 R42:T42 R23:T23 J24 M25:M27 K14 M14:M16" name="Range1_1_3" securityDescriptor="O:WDG:WDD:(A;;CC;;;S-1-5-21-2496373424-2134928991-926383051-63041)"/>
    <protectedRange algorithmName="SHA-512" hashValue="FFDl6+DQqly+UHQ4pISE5WlYWH27s79H8BUEJZgNEUSzbdeI8WUxAp2PG5D2CeD1oSy04vSZTMAEGPG+DxtI/A==" saltValue="X1CEYNaOApMatZTY9Hie9A==" spinCount="100000" sqref="D11 C20:C22 D9 C5:C18 C43:C46 C41 C34:C37 C32 C24:C30" name="Range1_1" securityDescriptor="O:WDG:WDD:(A;;CC;;;S-1-5-21-2496373424-2134928991-926383051-63041)"/>
    <protectedRange algorithmName="SHA-512" hashValue="FFDl6+DQqly+UHQ4pISE5WlYWH27s79H8BUEJZgNEUSzbdeI8WUxAp2PG5D2CeD1oSy04vSZTMAEGPG+DxtI/A==" saltValue="X1CEYNaOApMatZTY9Hie9A==" spinCount="100000" sqref="D5:D8 D12:D46 C19 D10 C42 C23 C38:C40 C33 C31" name="Range1_4" securityDescriptor="O:WDG:WDD:(A;;CC;;;S-1-5-21-2496373424-2134928991-926383051-63041)"/>
  </protectedRanges>
  <mergeCells count="1">
    <mergeCell ref="B55:B58"/>
  </mergeCells>
  <phoneticPr fontId="10" type="noConversion"/>
  <pageMargins left="0.7" right="0.7" top="0.75" bottom="0.75" header="0.3" footer="0.3"/>
  <pageSetup paperSize="9" orientation="portrait" verticalDpi="4294967293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509CF-ED83-4CBF-85D6-B58FAD2BDD0E}">
  <dimension ref="A1:Y76"/>
  <sheetViews>
    <sheetView zoomScaleNormal="100" workbookViewId="0">
      <pane xSplit="2" ySplit="7" topLeftCell="C13" activePane="bottomRight" state="frozen"/>
      <selection pane="topRight" activeCell="C1" sqref="C1"/>
      <selection pane="bottomLeft" activeCell="A8" sqref="A8"/>
      <selection pane="bottomRight" activeCell="H27" sqref="H27"/>
    </sheetView>
  </sheetViews>
  <sheetFormatPr defaultColWidth="9" defaultRowHeight="15.75" customHeight="1"/>
  <cols>
    <col min="1" max="1" width="3.5" style="1" customWidth="1"/>
    <col min="2" max="2" width="37.83203125" style="1" customWidth="1"/>
    <col min="3" max="3" width="44.75" style="1" customWidth="1"/>
    <col min="4" max="8" width="44.75" style="4" customWidth="1"/>
    <col min="9" max="9" width="55.08203125" style="4" customWidth="1"/>
    <col min="10" max="10" width="49.75" style="4" hidden="1" customWidth="1"/>
    <col min="11" max="11" width="52.75" style="4" customWidth="1"/>
    <col min="12" max="12" width="57.58203125" style="4" customWidth="1"/>
    <col min="13" max="13" width="53.83203125" style="4" customWidth="1"/>
    <col min="14" max="14" width="49.75" style="4" hidden="1" customWidth="1"/>
    <col min="15" max="18" width="49.75" style="4" customWidth="1"/>
    <col min="19" max="20" width="49.75" style="1" customWidth="1"/>
    <col min="21" max="21" width="50.58203125" style="1" customWidth="1"/>
    <col min="22" max="22" width="53.5" style="1" customWidth="1"/>
    <col min="23" max="24" width="36.08203125" style="1" hidden="1" customWidth="1"/>
    <col min="25" max="16384" width="9" style="1"/>
  </cols>
  <sheetData>
    <row r="1" spans="2:25" ht="14.25" customHeight="1"/>
    <row r="2" spans="2:25" ht="27">
      <c r="B2" s="3" t="s">
        <v>830</v>
      </c>
    </row>
    <row r="4" spans="2:25" s="36" customFormat="1" ht="15">
      <c r="E4" s="36" t="s">
        <v>831</v>
      </c>
    </row>
    <row r="5" spans="2:25" s="29" customFormat="1" ht="15">
      <c r="B5" s="28"/>
      <c r="C5" s="19" t="s">
        <v>832</v>
      </c>
      <c r="D5" s="19" t="s">
        <v>833</v>
      </c>
      <c r="E5" s="19" t="s">
        <v>834</v>
      </c>
      <c r="F5" s="19" t="s">
        <v>835</v>
      </c>
      <c r="G5" s="19" t="s">
        <v>836</v>
      </c>
      <c r="H5" s="19" t="s">
        <v>837</v>
      </c>
      <c r="I5" s="19" t="s">
        <v>838</v>
      </c>
      <c r="J5" s="19" t="s">
        <v>839</v>
      </c>
      <c r="K5" s="19" t="s">
        <v>840</v>
      </c>
      <c r="L5" s="19" t="s">
        <v>841</v>
      </c>
      <c r="M5" s="19" t="s">
        <v>842</v>
      </c>
      <c r="N5" s="19" t="s">
        <v>843</v>
      </c>
      <c r="O5" s="19" t="s">
        <v>844</v>
      </c>
      <c r="P5" s="19" t="s">
        <v>845</v>
      </c>
      <c r="Q5" s="19" t="s">
        <v>846</v>
      </c>
      <c r="R5" s="19" t="s">
        <v>847</v>
      </c>
      <c r="S5" s="136" t="s">
        <v>848</v>
      </c>
      <c r="T5" s="136" t="s">
        <v>849</v>
      </c>
      <c r="U5" s="136" t="s">
        <v>850</v>
      </c>
      <c r="V5" s="136" t="s">
        <v>851</v>
      </c>
      <c r="W5" s="136" t="s">
        <v>852</v>
      </c>
      <c r="X5" s="136" t="s">
        <v>852</v>
      </c>
    </row>
    <row r="6" spans="2:25" s="29" customFormat="1" ht="30">
      <c r="B6" s="28"/>
      <c r="C6" s="26" t="s">
        <v>853</v>
      </c>
      <c r="D6" s="26" t="s">
        <v>854</v>
      </c>
      <c r="E6" s="26" t="s">
        <v>855</v>
      </c>
      <c r="F6" s="26" t="s">
        <v>856</v>
      </c>
      <c r="G6" s="26" t="s">
        <v>857</v>
      </c>
      <c r="H6" s="26" t="s">
        <v>858</v>
      </c>
      <c r="I6" s="26" t="s">
        <v>859</v>
      </c>
      <c r="J6" s="26" t="s">
        <v>860</v>
      </c>
      <c r="K6" s="26" t="s">
        <v>861</v>
      </c>
      <c r="L6" s="26" t="s">
        <v>862</v>
      </c>
      <c r="M6" s="26" t="s">
        <v>863</v>
      </c>
      <c r="N6" s="26" t="s">
        <v>864</v>
      </c>
      <c r="O6" s="196" t="s">
        <v>865</v>
      </c>
      <c r="P6" s="26" t="s">
        <v>866</v>
      </c>
      <c r="Q6" s="196" t="s">
        <v>867</v>
      </c>
      <c r="R6" s="196" t="s">
        <v>868</v>
      </c>
      <c r="S6" s="137" t="s">
        <v>869</v>
      </c>
      <c r="T6" s="137" t="s">
        <v>870</v>
      </c>
      <c r="U6" s="137" t="s">
        <v>871</v>
      </c>
      <c r="V6" s="197" t="s">
        <v>872</v>
      </c>
      <c r="W6" s="137" t="s">
        <v>873</v>
      </c>
      <c r="X6" s="137" t="s">
        <v>874</v>
      </c>
    </row>
    <row r="7" spans="2:25" s="29" customFormat="1" ht="17.5">
      <c r="B7" s="30" t="s">
        <v>260</v>
      </c>
      <c r="C7" s="27" t="s">
        <v>875</v>
      </c>
      <c r="D7" s="27" t="s">
        <v>876</v>
      </c>
      <c r="E7" s="27" t="s">
        <v>877</v>
      </c>
      <c r="F7" s="27" t="s">
        <v>878</v>
      </c>
      <c r="G7" s="27" t="s">
        <v>879</v>
      </c>
      <c r="H7" s="27" t="s">
        <v>880</v>
      </c>
      <c r="I7" s="27" t="s">
        <v>881</v>
      </c>
      <c r="J7" s="27" t="s">
        <v>882</v>
      </c>
      <c r="K7" s="27" t="s">
        <v>883</v>
      </c>
      <c r="L7" s="27" t="s">
        <v>884</v>
      </c>
      <c r="M7" s="27" t="s">
        <v>885</v>
      </c>
      <c r="N7" s="27" t="s">
        <v>886</v>
      </c>
      <c r="O7" s="27" t="s">
        <v>887</v>
      </c>
      <c r="P7" s="27" t="s">
        <v>888</v>
      </c>
      <c r="Q7" s="27" t="s">
        <v>889</v>
      </c>
      <c r="R7" s="27" t="s">
        <v>890</v>
      </c>
      <c r="S7" s="138" t="s">
        <v>891</v>
      </c>
      <c r="T7" s="138" t="s">
        <v>892</v>
      </c>
      <c r="U7" s="138" t="s">
        <v>893</v>
      </c>
      <c r="V7" s="138" t="s">
        <v>894</v>
      </c>
      <c r="W7" s="138" t="s">
        <v>895</v>
      </c>
      <c r="X7" s="138" t="s">
        <v>896</v>
      </c>
    </row>
    <row r="8" spans="2:25" s="25" customFormat="1" ht="15">
      <c r="B8" s="16"/>
      <c r="C8" s="160" t="s">
        <v>246</v>
      </c>
      <c r="D8" s="112" t="s">
        <v>246</v>
      </c>
      <c r="E8" s="126" t="s">
        <v>246</v>
      </c>
      <c r="F8" s="100" t="s">
        <v>246</v>
      </c>
      <c r="G8" s="100" t="s">
        <v>246</v>
      </c>
      <c r="H8" s="85" t="s">
        <v>246</v>
      </c>
      <c r="I8" s="100" t="s">
        <v>246</v>
      </c>
      <c r="J8" s="100" t="s">
        <v>246</v>
      </c>
      <c r="K8" s="85" t="s">
        <v>246</v>
      </c>
      <c r="L8" s="85" t="s">
        <v>246</v>
      </c>
      <c r="M8" s="126" t="s">
        <v>246</v>
      </c>
      <c r="N8" s="85" t="s">
        <v>246</v>
      </c>
      <c r="O8" s="100" t="s">
        <v>246</v>
      </c>
      <c r="P8" s="117" t="s">
        <v>246</v>
      </c>
      <c r="Q8" s="85" t="s">
        <v>246</v>
      </c>
      <c r="R8" s="100" t="s">
        <v>246</v>
      </c>
      <c r="S8" s="126"/>
      <c r="T8" s="126"/>
      <c r="U8" s="126" t="s">
        <v>246</v>
      </c>
      <c r="V8" s="100" t="s">
        <v>246</v>
      </c>
      <c r="W8" s="126"/>
      <c r="X8" s="126"/>
    </row>
    <row r="9" spans="2:25" s="25" customFormat="1" ht="150">
      <c r="B9" s="16" t="s">
        <v>745</v>
      </c>
      <c r="C9" s="112" t="s">
        <v>897</v>
      </c>
      <c r="D9" s="112" t="s">
        <v>897</v>
      </c>
      <c r="E9" s="126" t="s">
        <v>82</v>
      </c>
      <c r="F9" s="100" t="s">
        <v>82</v>
      </c>
      <c r="G9" s="100" t="s">
        <v>82</v>
      </c>
      <c r="H9" s="85" t="s">
        <v>898</v>
      </c>
      <c r="I9" s="107" t="s">
        <v>899</v>
      </c>
      <c r="J9" s="100" t="s">
        <v>900</v>
      </c>
      <c r="K9" s="85" t="s">
        <v>275</v>
      </c>
      <c r="L9" s="85" t="s">
        <v>901</v>
      </c>
      <c r="M9" s="126" t="s">
        <v>275</v>
      </c>
      <c r="N9" s="85" t="s">
        <v>644</v>
      </c>
      <c r="O9" s="100" t="s">
        <v>275</v>
      </c>
      <c r="P9" s="117" t="s">
        <v>644</v>
      </c>
      <c r="Q9" s="86" t="s">
        <v>275</v>
      </c>
      <c r="R9" s="101" t="s">
        <v>275</v>
      </c>
      <c r="S9" s="126" t="s">
        <v>644</v>
      </c>
      <c r="T9" s="126" t="s">
        <v>644</v>
      </c>
      <c r="U9" s="127" t="s">
        <v>902</v>
      </c>
      <c r="V9" s="101" t="s">
        <v>903</v>
      </c>
      <c r="W9" s="126"/>
      <c r="X9" s="126"/>
    </row>
    <row r="10" spans="2:25" s="25" customFormat="1" ht="15">
      <c r="B10" s="16" t="s">
        <v>82</v>
      </c>
      <c r="C10" s="160" t="s">
        <v>246</v>
      </c>
      <c r="D10" s="112" t="s">
        <v>246</v>
      </c>
      <c r="E10" s="126" t="s">
        <v>246</v>
      </c>
      <c r="F10" s="100" t="s">
        <v>246</v>
      </c>
      <c r="G10" s="100" t="s">
        <v>246</v>
      </c>
      <c r="H10" s="85" t="s">
        <v>246</v>
      </c>
      <c r="I10" s="100"/>
      <c r="J10" s="100" t="s">
        <v>246</v>
      </c>
      <c r="K10" s="85" t="s">
        <v>644</v>
      </c>
      <c r="L10" s="85" t="s">
        <v>644</v>
      </c>
      <c r="M10" s="126" t="s">
        <v>644</v>
      </c>
      <c r="N10" s="85" t="s">
        <v>644</v>
      </c>
      <c r="O10" s="100" t="s">
        <v>644</v>
      </c>
      <c r="P10" s="117" t="s">
        <v>644</v>
      </c>
      <c r="Q10" s="86" t="s">
        <v>644</v>
      </c>
      <c r="R10" s="101" t="s">
        <v>644</v>
      </c>
      <c r="S10" s="126" t="s">
        <v>644</v>
      </c>
      <c r="T10" s="126" t="s">
        <v>904</v>
      </c>
      <c r="U10" s="127" t="s">
        <v>644</v>
      </c>
      <c r="V10" s="101" t="s">
        <v>644</v>
      </c>
      <c r="W10" s="126"/>
      <c r="X10" s="126"/>
    </row>
    <row r="11" spans="2:25" s="32" customFormat="1" ht="172.5" customHeight="1">
      <c r="B11" s="42" t="s">
        <v>281</v>
      </c>
      <c r="C11" s="107" t="s">
        <v>905</v>
      </c>
      <c r="D11" s="107" t="s">
        <v>905</v>
      </c>
      <c r="E11" s="107" t="s">
        <v>905</v>
      </c>
      <c r="F11" s="107" t="s">
        <v>905</v>
      </c>
      <c r="G11" s="107" t="s">
        <v>905</v>
      </c>
      <c r="H11" s="107" t="s">
        <v>905</v>
      </c>
      <c r="I11" s="107" t="s">
        <v>906</v>
      </c>
      <c r="J11" s="107" t="s">
        <v>907</v>
      </c>
      <c r="K11" s="107" t="s">
        <v>908</v>
      </c>
      <c r="L11" s="107" t="s">
        <v>908</v>
      </c>
      <c r="M11" s="107" t="s">
        <v>908</v>
      </c>
      <c r="N11" s="107" t="s">
        <v>909</v>
      </c>
      <c r="O11" s="107" t="s">
        <v>908</v>
      </c>
      <c r="P11" s="107" t="s">
        <v>909</v>
      </c>
      <c r="Q11" s="107" t="s">
        <v>908</v>
      </c>
      <c r="R11" s="107" t="s">
        <v>908</v>
      </c>
      <c r="S11" s="107" t="s">
        <v>910</v>
      </c>
      <c r="T11" s="107" t="s">
        <v>911</v>
      </c>
      <c r="U11" s="107" t="s">
        <v>909</v>
      </c>
      <c r="V11" s="107" t="s">
        <v>908</v>
      </c>
      <c r="W11" s="116"/>
    </row>
    <row r="12" spans="2:25" s="25" customFormat="1" ht="15">
      <c r="B12" s="16"/>
      <c r="C12" s="160" t="s">
        <v>246</v>
      </c>
      <c r="D12" s="112" t="s">
        <v>246</v>
      </c>
      <c r="E12" s="126" t="s">
        <v>246</v>
      </c>
      <c r="F12" s="100" t="s">
        <v>246</v>
      </c>
      <c r="G12" s="100" t="s">
        <v>246</v>
      </c>
      <c r="H12" s="85" t="s">
        <v>246</v>
      </c>
      <c r="I12" s="100" t="s">
        <v>246</v>
      </c>
      <c r="J12" s="100" t="s">
        <v>246</v>
      </c>
      <c r="K12" s="85" t="s">
        <v>246</v>
      </c>
      <c r="L12" s="85" t="s">
        <v>246</v>
      </c>
      <c r="M12" s="126" t="s">
        <v>246</v>
      </c>
      <c r="N12" s="85" t="s">
        <v>246</v>
      </c>
      <c r="O12" s="100" t="s">
        <v>246</v>
      </c>
      <c r="P12" s="117" t="s">
        <v>246</v>
      </c>
      <c r="Q12" s="86" t="s">
        <v>246</v>
      </c>
      <c r="R12" s="102" t="s">
        <v>246</v>
      </c>
      <c r="S12" s="126"/>
      <c r="T12" s="126"/>
      <c r="U12" s="127" t="s">
        <v>246</v>
      </c>
      <c r="V12" s="101" t="s">
        <v>246</v>
      </c>
      <c r="W12" s="126"/>
      <c r="X12" s="126"/>
    </row>
    <row r="13" spans="2:25" s="25" customFormat="1" ht="255">
      <c r="B13" s="16" t="s">
        <v>284</v>
      </c>
      <c r="C13" s="98" t="s">
        <v>912</v>
      </c>
      <c r="D13" s="98" t="s">
        <v>912</v>
      </c>
      <c r="E13" s="126" t="s">
        <v>913</v>
      </c>
      <c r="F13" s="98" t="s">
        <v>914</v>
      </c>
      <c r="G13" s="98" t="s">
        <v>915</v>
      </c>
      <c r="H13" s="98" t="s">
        <v>916</v>
      </c>
      <c r="I13" s="100" t="s">
        <v>917</v>
      </c>
      <c r="J13" s="101" t="s">
        <v>918</v>
      </c>
      <c r="K13" s="86" t="s">
        <v>919</v>
      </c>
      <c r="L13" s="86" t="s">
        <v>920</v>
      </c>
      <c r="M13" s="86" t="s">
        <v>919</v>
      </c>
      <c r="N13" s="94" t="s">
        <v>921</v>
      </c>
      <c r="O13" s="86" t="s">
        <v>922</v>
      </c>
      <c r="P13" s="94" t="s">
        <v>923</v>
      </c>
      <c r="Q13" s="86" t="s">
        <v>924</v>
      </c>
      <c r="R13" s="86" t="s">
        <v>925</v>
      </c>
      <c r="S13" s="94" t="s">
        <v>926</v>
      </c>
      <c r="T13" s="107" t="s">
        <v>927</v>
      </c>
      <c r="U13" s="94" t="s">
        <v>926</v>
      </c>
      <c r="V13" s="86" t="s">
        <v>928</v>
      </c>
      <c r="W13" s="127"/>
      <c r="X13" s="126"/>
    </row>
    <row r="14" spans="2:25" s="54" customFormat="1" ht="28.5" customHeight="1">
      <c r="B14" s="42" t="s">
        <v>749</v>
      </c>
      <c r="C14" s="101">
        <v>13.1</v>
      </c>
      <c r="D14" s="97">
        <v>13.1</v>
      </c>
      <c r="E14" s="108">
        <v>11</v>
      </c>
      <c r="F14" s="107">
        <v>13.1</v>
      </c>
      <c r="G14" s="107">
        <v>13.1</v>
      </c>
      <c r="H14" s="94">
        <v>13.1</v>
      </c>
      <c r="I14" s="107">
        <v>48</v>
      </c>
      <c r="J14" s="152">
        <v>11</v>
      </c>
      <c r="K14" s="98">
        <v>50</v>
      </c>
      <c r="L14" s="98">
        <v>50</v>
      </c>
      <c r="M14" s="108">
        <v>50</v>
      </c>
      <c r="N14" s="86" t="s">
        <v>644</v>
      </c>
      <c r="O14" s="101" t="s">
        <v>929</v>
      </c>
      <c r="P14" s="117" t="s">
        <v>644</v>
      </c>
      <c r="Q14" s="86" t="s">
        <v>930</v>
      </c>
      <c r="R14" s="108" t="s">
        <v>931</v>
      </c>
      <c r="S14" s="127" t="s">
        <v>304</v>
      </c>
      <c r="T14" s="124" t="s">
        <v>932</v>
      </c>
      <c r="U14" s="127" t="s">
        <v>644</v>
      </c>
      <c r="V14" s="101" t="s">
        <v>644</v>
      </c>
      <c r="W14" s="127"/>
      <c r="X14" s="124"/>
      <c r="Y14" s="32"/>
    </row>
    <row r="15" spans="2:25" s="25" customFormat="1" ht="61.5" customHeight="1">
      <c r="B15" s="16" t="s">
        <v>933</v>
      </c>
      <c r="C15" s="108" t="s">
        <v>934</v>
      </c>
      <c r="D15" s="98" t="s">
        <v>934</v>
      </c>
      <c r="E15" s="108" t="s">
        <v>323</v>
      </c>
      <c r="F15" s="107" t="s">
        <v>935</v>
      </c>
      <c r="G15" s="101" t="s">
        <v>936</v>
      </c>
      <c r="H15" s="101" t="s">
        <v>937</v>
      </c>
      <c r="I15" s="124" t="s">
        <v>938</v>
      </c>
      <c r="J15" s="107" t="s">
        <v>939</v>
      </c>
      <c r="K15" s="86" t="s">
        <v>82</v>
      </c>
      <c r="L15" s="116" t="s">
        <v>699</v>
      </c>
      <c r="M15" s="127" t="s">
        <v>246</v>
      </c>
      <c r="N15" s="86" t="s">
        <v>940</v>
      </c>
      <c r="O15" s="101" t="s">
        <v>941</v>
      </c>
      <c r="P15" s="98" t="s">
        <v>942</v>
      </c>
      <c r="Q15" s="97" t="s">
        <v>943</v>
      </c>
      <c r="R15" s="107" t="s">
        <v>943</v>
      </c>
      <c r="S15" s="127" t="s">
        <v>944</v>
      </c>
      <c r="T15" s="127" t="s">
        <v>945</v>
      </c>
      <c r="U15" s="127" t="s">
        <v>942</v>
      </c>
      <c r="V15" s="108" t="s">
        <v>946</v>
      </c>
      <c r="W15" s="127"/>
      <c r="X15" s="127"/>
    </row>
    <row r="16" spans="2:25" s="25" customFormat="1" ht="35.15" customHeight="1">
      <c r="B16" s="16" t="s">
        <v>621</v>
      </c>
      <c r="C16" s="122" t="s">
        <v>307</v>
      </c>
      <c r="D16" s="123" t="s">
        <v>307</v>
      </c>
      <c r="E16" s="98" t="s">
        <v>349</v>
      </c>
      <c r="F16" s="107" t="s">
        <v>307</v>
      </c>
      <c r="G16" s="107" t="s">
        <v>307</v>
      </c>
      <c r="H16" s="107" t="s">
        <v>307</v>
      </c>
      <c r="I16" s="107" t="s">
        <v>349</v>
      </c>
      <c r="J16" s="86" t="s">
        <v>307</v>
      </c>
      <c r="K16" s="86" t="s">
        <v>349</v>
      </c>
      <c r="L16" s="94" t="s">
        <v>349</v>
      </c>
      <c r="M16" s="127" t="s">
        <v>349</v>
      </c>
      <c r="N16" s="87" t="s">
        <v>307</v>
      </c>
      <c r="O16" s="101" t="s">
        <v>349</v>
      </c>
      <c r="P16" s="122" t="s">
        <v>307</v>
      </c>
      <c r="Q16" s="94" t="s">
        <v>349</v>
      </c>
      <c r="R16" s="107" t="s">
        <v>349</v>
      </c>
      <c r="S16" s="108" t="s">
        <v>349</v>
      </c>
      <c r="T16" s="127" t="s">
        <v>349</v>
      </c>
      <c r="U16" s="127" t="s">
        <v>307</v>
      </c>
      <c r="V16" s="108" t="s">
        <v>349</v>
      </c>
      <c r="W16" s="124"/>
      <c r="X16" s="127"/>
    </row>
    <row r="17" spans="1:24" s="25" customFormat="1" ht="15">
      <c r="B17" s="16"/>
      <c r="C17" s="132" t="s">
        <v>246</v>
      </c>
      <c r="D17" s="123" t="s">
        <v>246</v>
      </c>
      <c r="E17" s="108" t="s">
        <v>246</v>
      </c>
      <c r="F17" s="154" t="s">
        <v>246</v>
      </c>
      <c r="G17" s="107"/>
      <c r="H17" s="107"/>
      <c r="I17" s="107" t="s">
        <v>246</v>
      </c>
      <c r="J17" s="100" t="s">
        <v>246</v>
      </c>
      <c r="K17" s="86" t="s">
        <v>246</v>
      </c>
      <c r="L17" s="94" t="s">
        <v>246</v>
      </c>
      <c r="M17" s="127" t="s">
        <v>246</v>
      </c>
      <c r="N17" s="88" t="s">
        <v>246</v>
      </c>
      <c r="O17" s="102" t="s">
        <v>246</v>
      </c>
      <c r="P17" s="117" t="s">
        <v>246</v>
      </c>
      <c r="Q17" s="88" t="s">
        <v>246</v>
      </c>
      <c r="R17" s="107" t="s">
        <v>246</v>
      </c>
      <c r="S17" s="127"/>
      <c r="T17" s="127"/>
      <c r="U17" s="109" t="s">
        <v>246</v>
      </c>
      <c r="V17" s="124" t="s">
        <v>246</v>
      </c>
      <c r="W17" s="127"/>
      <c r="X17" s="127"/>
    </row>
    <row r="18" spans="1:24" s="25" customFormat="1" ht="141" customHeight="1">
      <c r="A18" s="216" t="s">
        <v>246</v>
      </c>
      <c r="B18" s="83" t="s">
        <v>308</v>
      </c>
      <c r="C18" s="101" t="s">
        <v>947</v>
      </c>
      <c r="D18" s="101" t="s">
        <v>948</v>
      </c>
      <c r="E18" s="107" t="s">
        <v>949</v>
      </c>
      <c r="F18" s="107" t="s">
        <v>950</v>
      </c>
      <c r="G18" s="101" t="s">
        <v>950</v>
      </c>
      <c r="H18" s="101" t="s">
        <v>951</v>
      </c>
      <c r="I18" s="101" t="s">
        <v>952</v>
      </c>
      <c r="J18" s="217" t="s">
        <v>953</v>
      </c>
      <c r="K18" s="101" t="s">
        <v>953</v>
      </c>
      <c r="L18" s="101" t="s">
        <v>953</v>
      </c>
      <c r="M18" s="101" t="s">
        <v>953</v>
      </c>
      <c r="N18" s="218" t="s">
        <v>954</v>
      </c>
      <c r="O18" s="101" t="s">
        <v>955</v>
      </c>
      <c r="P18" s="127" t="s">
        <v>956</v>
      </c>
      <c r="Q18" s="127" t="s">
        <v>957</v>
      </c>
      <c r="R18" s="127" t="s">
        <v>958</v>
      </c>
      <c r="S18" s="101" t="s">
        <v>959</v>
      </c>
      <c r="T18" s="101" t="s">
        <v>959</v>
      </c>
      <c r="U18" s="101" t="s">
        <v>956</v>
      </c>
      <c r="V18" s="101" t="s">
        <v>956</v>
      </c>
      <c r="W18" s="216" t="s">
        <v>246</v>
      </c>
      <c r="X18" s="127"/>
    </row>
    <row r="19" spans="1:24" s="25" customFormat="1" ht="66.75" customHeight="1">
      <c r="B19" s="16" t="s">
        <v>960</v>
      </c>
      <c r="C19" s="108" t="s">
        <v>961</v>
      </c>
      <c r="D19" s="98" t="s">
        <v>962</v>
      </c>
      <c r="E19" s="108" t="s">
        <v>963</v>
      </c>
      <c r="F19" s="107" t="s">
        <v>964</v>
      </c>
      <c r="G19" s="107" t="s">
        <v>965</v>
      </c>
      <c r="H19" s="107" t="s">
        <v>966</v>
      </c>
      <c r="I19" s="107" t="s">
        <v>967</v>
      </c>
      <c r="J19" s="107" t="s">
        <v>968</v>
      </c>
      <c r="K19" s="127" t="s">
        <v>969</v>
      </c>
      <c r="L19" s="127" t="s">
        <v>969</v>
      </c>
      <c r="M19" s="127" t="s">
        <v>969</v>
      </c>
      <c r="N19" s="116" t="s">
        <v>970</v>
      </c>
      <c r="O19" s="127" t="s">
        <v>971</v>
      </c>
      <c r="P19" s="122" t="s">
        <v>972</v>
      </c>
      <c r="Q19" s="122" t="s">
        <v>973</v>
      </c>
      <c r="R19" s="127" t="s">
        <v>974</v>
      </c>
      <c r="S19" s="127" t="s">
        <v>975</v>
      </c>
      <c r="T19" s="127" t="s">
        <v>975</v>
      </c>
      <c r="U19" s="127" t="s">
        <v>976</v>
      </c>
      <c r="V19" s="127" t="s">
        <v>976</v>
      </c>
      <c r="W19" s="127"/>
      <c r="X19" s="127"/>
    </row>
    <row r="20" spans="1:24" s="25" customFormat="1" ht="56.25" customHeight="1">
      <c r="B20" s="16" t="s">
        <v>977</v>
      </c>
      <c r="C20" s="108" t="s">
        <v>978</v>
      </c>
      <c r="D20" s="98" t="s">
        <v>979</v>
      </c>
      <c r="E20" s="108" t="s">
        <v>980</v>
      </c>
      <c r="F20" s="107" t="s">
        <v>981</v>
      </c>
      <c r="G20" s="107" t="s">
        <v>982</v>
      </c>
      <c r="H20" s="107" t="s">
        <v>983</v>
      </c>
      <c r="I20" s="107" t="s">
        <v>984</v>
      </c>
      <c r="J20" s="107" t="s">
        <v>985</v>
      </c>
      <c r="K20" s="127" t="s">
        <v>986</v>
      </c>
      <c r="L20" s="127" t="s">
        <v>986</v>
      </c>
      <c r="M20" s="127" t="s">
        <v>986</v>
      </c>
      <c r="N20" s="116" t="s">
        <v>987</v>
      </c>
      <c r="O20" s="127" t="s">
        <v>988</v>
      </c>
      <c r="P20" s="122" t="s">
        <v>989</v>
      </c>
      <c r="Q20" s="122" t="s">
        <v>990</v>
      </c>
      <c r="R20" s="127" t="s">
        <v>991</v>
      </c>
      <c r="S20" s="127" t="s">
        <v>992</v>
      </c>
      <c r="T20" s="127" t="s">
        <v>992</v>
      </c>
      <c r="U20" s="127" t="s">
        <v>989</v>
      </c>
      <c r="V20" s="127" t="s">
        <v>989</v>
      </c>
      <c r="W20" s="127"/>
      <c r="X20" s="127"/>
    </row>
    <row r="21" spans="1:24" s="25" customFormat="1" ht="75">
      <c r="B21" s="16" t="s">
        <v>993</v>
      </c>
      <c r="C21" s="98" t="s">
        <v>994</v>
      </c>
      <c r="D21" s="98" t="s">
        <v>995</v>
      </c>
      <c r="E21" s="108" t="s">
        <v>996</v>
      </c>
      <c r="F21" s="107" t="s">
        <v>997</v>
      </c>
      <c r="G21" s="107" t="s">
        <v>997</v>
      </c>
      <c r="H21" s="107" t="s">
        <v>998</v>
      </c>
      <c r="I21" s="107" t="s">
        <v>999</v>
      </c>
      <c r="J21" s="107" t="s">
        <v>1000</v>
      </c>
      <c r="K21" s="127" t="s">
        <v>1001</v>
      </c>
      <c r="L21" s="127" t="s">
        <v>1001</v>
      </c>
      <c r="M21" s="127" t="s">
        <v>1001</v>
      </c>
      <c r="N21" s="116" t="s">
        <v>1002</v>
      </c>
      <c r="O21" s="107" t="s">
        <v>1003</v>
      </c>
      <c r="P21" s="122" t="s">
        <v>1004</v>
      </c>
      <c r="Q21" s="122" t="s">
        <v>1005</v>
      </c>
      <c r="R21" s="127" t="s">
        <v>1006</v>
      </c>
      <c r="S21" s="127" t="s">
        <v>1007</v>
      </c>
      <c r="T21" s="127" t="s">
        <v>1007</v>
      </c>
      <c r="U21" s="127" t="s">
        <v>1008</v>
      </c>
      <c r="V21" s="127" t="s">
        <v>1008</v>
      </c>
      <c r="W21" s="127"/>
      <c r="X21" s="127"/>
    </row>
    <row r="22" spans="1:24" s="25" customFormat="1" ht="75">
      <c r="B22" s="16" t="s">
        <v>1009</v>
      </c>
      <c r="C22" s="98" t="s">
        <v>1010</v>
      </c>
      <c r="D22" s="98" t="s">
        <v>1011</v>
      </c>
      <c r="E22" s="108" t="s">
        <v>1012</v>
      </c>
      <c r="F22" s="107" t="s">
        <v>1013</v>
      </c>
      <c r="G22" s="107" t="s">
        <v>1013</v>
      </c>
      <c r="H22" s="107" t="s">
        <v>1014</v>
      </c>
      <c r="I22" s="107" t="s">
        <v>1015</v>
      </c>
      <c r="J22" s="107" t="s">
        <v>1016</v>
      </c>
      <c r="K22" s="127" t="s">
        <v>1017</v>
      </c>
      <c r="L22" s="127" t="s">
        <v>1018</v>
      </c>
      <c r="M22" s="127" t="s">
        <v>1017</v>
      </c>
      <c r="N22" s="116" t="s">
        <v>1019</v>
      </c>
      <c r="O22" s="107" t="s">
        <v>1020</v>
      </c>
      <c r="P22" s="122" t="s">
        <v>1021</v>
      </c>
      <c r="Q22" s="122" t="s">
        <v>1022</v>
      </c>
      <c r="R22" s="127" t="s">
        <v>1023</v>
      </c>
      <c r="S22" s="127" t="s">
        <v>1024</v>
      </c>
      <c r="T22" s="127" t="s">
        <v>1024</v>
      </c>
      <c r="U22" s="127" t="s">
        <v>1025</v>
      </c>
      <c r="V22" s="127" t="s">
        <v>1025</v>
      </c>
      <c r="W22" s="127"/>
      <c r="X22" s="127"/>
    </row>
    <row r="23" spans="1:24" s="32" customFormat="1" ht="45">
      <c r="B23" s="42" t="s">
        <v>1026</v>
      </c>
      <c r="C23" s="108" t="s">
        <v>1027</v>
      </c>
      <c r="D23" s="98" t="s">
        <v>1028</v>
      </c>
      <c r="E23" s="108" t="s">
        <v>1029</v>
      </c>
      <c r="F23" s="108" t="s">
        <v>1030</v>
      </c>
      <c r="G23" s="108" t="s">
        <v>1030</v>
      </c>
      <c r="H23" s="108" t="s">
        <v>1030</v>
      </c>
      <c r="I23" s="108" t="s">
        <v>1031</v>
      </c>
      <c r="J23" s="107" t="s">
        <v>699</v>
      </c>
      <c r="K23" s="108" t="s">
        <v>1030</v>
      </c>
      <c r="L23" s="108" t="s">
        <v>1030</v>
      </c>
      <c r="M23" s="108" t="s">
        <v>1030</v>
      </c>
      <c r="N23" s="94" t="s">
        <v>1032</v>
      </c>
      <c r="O23" s="107" t="s">
        <v>1033</v>
      </c>
      <c r="P23" s="98" t="s">
        <v>1029</v>
      </c>
      <c r="Q23" s="108" t="s">
        <v>1029</v>
      </c>
      <c r="R23" s="108" t="s">
        <v>1029</v>
      </c>
      <c r="S23" s="108" t="s">
        <v>1034</v>
      </c>
      <c r="T23" s="108" t="s">
        <v>1034</v>
      </c>
      <c r="U23" s="108" t="s">
        <v>1035</v>
      </c>
      <c r="V23" s="108" t="s">
        <v>1035</v>
      </c>
      <c r="W23" s="108"/>
      <c r="X23" s="108"/>
    </row>
    <row r="24" spans="1:24" s="25" customFormat="1" ht="45">
      <c r="B24" s="16" t="s">
        <v>1036</v>
      </c>
      <c r="C24" s="126" t="s">
        <v>307</v>
      </c>
      <c r="D24" s="112" t="s">
        <v>307</v>
      </c>
      <c r="E24" s="127" t="s">
        <v>1037</v>
      </c>
      <c r="F24" s="100" t="s">
        <v>307</v>
      </c>
      <c r="G24" s="85" t="s">
        <v>307</v>
      </c>
      <c r="H24" s="85" t="s">
        <v>307</v>
      </c>
      <c r="I24" s="107" t="s">
        <v>1038</v>
      </c>
      <c r="J24" s="117" t="s">
        <v>307</v>
      </c>
      <c r="K24" s="98" t="s">
        <v>1039</v>
      </c>
      <c r="L24" s="98" t="s">
        <v>1039</v>
      </c>
      <c r="M24" s="127" t="s">
        <v>1039</v>
      </c>
      <c r="N24" s="86" t="s">
        <v>349</v>
      </c>
      <c r="O24" s="101" t="s">
        <v>349</v>
      </c>
      <c r="P24" s="122" t="s">
        <v>349</v>
      </c>
      <c r="Q24" s="86" t="s">
        <v>349</v>
      </c>
      <c r="R24" s="107" t="s">
        <v>349</v>
      </c>
      <c r="S24" s="127" t="s">
        <v>349</v>
      </c>
      <c r="T24" s="127" t="s">
        <v>349</v>
      </c>
      <c r="U24" s="127" t="s">
        <v>349</v>
      </c>
      <c r="V24" s="101" t="s">
        <v>349</v>
      </c>
      <c r="W24" s="127"/>
      <c r="X24" s="127"/>
    </row>
    <row r="25" spans="1:24" s="25" customFormat="1" ht="26.25" customHeight="1">
      <c r="B25" s="16" t="s">
        <v>1040</v>
      </c>
      <c r="C25" s="126" t="s">
        <v>307</v>
      </c>
      <c r="D25" s="112" t="s">
        <v>307</v>
      </c>
      <c r="E25" s="127" t="s">
        <v>1041</v>
      </c>
      <c r="F25" s="107" t="s">
        <v>307</v>
      </c>
      <c r="G25" s="85" t="s">
        <v>307</v>
      </c>
      <c r="H25" s="85" t="s">
        <v>307</v>
      </c>
      <c r="I25" s="107" t="s">
        <v>307</v>
      </c>
      <c r="J25" s="117" t="s">
        <v>349</v>
      </c>
      <c r="K25" s="86" t="s">
        <v>246</v>
      </c>
      <c r="L25" s="94" t="s">
        <v>246</v>
      </c>
      <c r="M25" s="127" t="s">
        <v>307</v>
      </c>
      <c r="N25" s="86" t="s">
        <v>307</v>
      </c>
      <c r="O25" s="101" t="s">
        <v>307</v>
      </c>
      <c r="P25" s="122" t="s">
        <v>307</v>
      </c>
      <c r="Q25" s="86" t="s">
        <v>307</v>
      </c>
      <c r="R25" s="107" t="s">
        <v>307</v>
      </c>
      <c r="S25" s="127" t="s">
        <v>349</v>
      </c>
      <c r="T25" s="127" t="s">
        <v>349</v>
      </c>
      <c r="U25" s="127" t="s">
        <v>307</v>
      </c>
      <c r="V25" s="101" t="s">
        <v>307</v>
      </c>
      <c r="W25" s="127"/>
      <c r="X25" s="127"/>
    </row>
    <row r="26" spans="1:24" s="25" customFormat="1" ht="15">
      <c r="B26" s="16"/>
      <c r="C26" s="133" t="s">
        <v>246</v>
      </c>
      <c r="D26" s="112" t="s">
        <v>246</v>
      </c>
      <c r="E26" s="126" t="s">
        <v>246</v>
      </c>
      <c r="F26" s="100" t="s">
        <v>246</v>
      </c>
      <c r="G26" s="85"/>
      <c r="H26" s="85" t="s">
        <v>246</v>
      </c>
      <c r="I26" s="107" t="s">
        <v>246</v>
      </c>
      <c r="J26" s="100" t="s">
        <v>246</v>
      </c>
      <c r="K26" s="85" t="s">
        <v>246</v>
      </c>
      <c r="L26" s="94" t="s">
        <v>246</v>
      </c>
      <c r="M26" s="126" t="s">
        <v>246</v>
      </c>
      <c r="N26" s="88" t="s">
        <v>246</v>
      </c>
      <c r="O26" s="101" t="s">
        <v>246</v>
      </c>
      <c r="P26" s="122" t="s">
        <v>246</v>
      </c>
      <c r="Q26" s="88" t="s">
        <v>246</v>
      </c>
      <c r="R26" s="102" t="s">
        <v>246</v>
      </c>
      <c r="S26" s="126"/>
      <c r="T26" s="126"/>
      <c r="U26" s="109" t="s">
        <v>246</v>
      </c>
      <c r="V26" s="102" t="s">
        <v>246</v>
      </c>
      <c r="W26" s="126"/>
      <c r="X26" s="126"/>
    </row>
    <row r="27" spans="1:24" s="25" customFormat="1" ht="161.25" customHeight="1">
      <c r="B27" s="83" t="s">
        <v>1042</v>
      </c>
      <c r="C27" s="108" t="s">
        <v>1043</v>
      </c>
      <c r="D27" s="98" t="s">
        <v>1044</v>
      </c>
      <c r="E27" s="127" t="s">
        <v>1045</v>
      </c>
      <c r="F27" s="107" t="s">
        <v>1046</v>
      </c>
      <c r="G27" s="93" t="s">
        <v>1047</v>
      </c>
      <c r="H27" s="93" t="s">
        <v>1048</v>
      </c>
      <c r="I27" s="107" t="s">
        <v>1049</v>
      </c>
      <c r="J27" s="107" t="s">
        <v>1050</v>
      </c>
      <c r="K27" s="98" t="s">
        <v>1051</v>
      </c>
      <c r="L27" s="98" t="s">
        <v>1052</v>
      </c>
      <c r="M27" s="108" t="s">
        <v>1053</v>
      </c>
      <c r="N27" s="86" t="s">
        <v>1054</v>
      </c>
      <c r="O27" s="101" t="s">
        <v>1055</v>
      </c>
      <c r="P27" s="123" t="s">
        <v>1056</v>
      </c>
      <c r="Q27" s="123" t="s">
        <v>1056</v>
      </c>
      <c r="R27" s="108" t="s">
        <v>1057</v>
      </c>
      <c r="S27" s="127" t="s">
        <v>1058</v>
      </c>
      <c r="T27" s="127" t="s">
        <v>1058</v>
      </c>
      <c r="U27" s="122" t="s">
        <v>1059</v>
      </c>
      <c r="V27" s="117" t="s">
        <v>1056</v>
      </c>
      <c r="W27" s="127"/>
      <c r="X27" s="127"/>
    </row>
    <row r="28" spans="1:24" s="25" customFormat="1" ht="15">
      <c r="B28" s="16" t="s">
        <v>370</v>
      </c>
      <c r="C28" s="139">
        <v>0.90649999999999997</v>
      </c>
      <c r="D28" s="144">
        <v>0.90469999999999995</v>
      </c>
      <c r="E28" s="155">
        <v>0.89459999999999995</v>
      </c>
      <c r="F28" s="125">
        <v>0.91</v>
      </c>
      <c r="G28" s="157">
        <v>0.90200000000000002</v>
      </c>
      <c r="H28" s="159" t="s">
        <v>1060</v>
      </c>
      <c r="I28" s="125">
        <v>0.91</v>
      </c>
      <c r="J28" s="125">
        <v>0.90700000000000003</v>
      </c>
      <c r="K28" s="111">
        <v>0.90649999999999997</v>
      </c>
      <c r="L28" s="111">
        <v>0.90649999999999997</v>
      </c>
      <c r="M28" s="110">
        <v>0.90469999999999995</v>
      </c>
      <c r="N28" s="99">
        <v>0.86880000000000002</v>
      </c>
      <c r="O28" s="199">
        <v>0.86880000000000002</v>
      </c>
      <c r="P28" s="118">
        <v>0.84809999999999997</v>
      </c>
      <c r="Q28" s="95">
        <v>0.84660000000000002</v>
      </c>
      <c r="R28" s="110">
        <v>0.83</v>
      </c>
      <c r="S28" s="139">
        <v>0.82640000000000002</v>
      </c>
      <c r="T28" s="139">
        <v>0.82640000000000002</v>
      </c>
      <c r="U28" s="195">
        <v>0.86709999999999998</v>
      </c>
      <c r="V28" s="125">
        <v>0.86709999999999998</v>
      </c>
      <c r="W28" s="139"/>
      <c r="X28" s="139"/>
    </row>
    <row r="29" spans="1:24" s="25" customFormat="1" ht="15">
      <c r="B29" s="16" t="s">
        <v>1061</v>
      </c>
      <c r="C29" s="126" t="s">
        <v>1062</v>
      </c>
      <c r="D29" s="112" t="s">
        <v>1062</v>
      </c>
      <c r="E29" s="156" t="s">
        <v>1063</v>
      </c>
      <c r="F29" s="107" t="s">
        <v>1062</v>
      </c>
      <c r="G29" s="100" t="s">
        <v>1062</v>
      </c>
      <c r="H29" s="85" t="s">
        <v>1062</v>
      </c>
      <c r="I29" s="107" t="s">
        <v>349</v>
      </c>
      <c r="J29" s="100" t="s">
        <v>1062</v>
      </c>
      <c r="K29" s="85" t="s">
        <v>1062</v>
      </c>
      <c r="L29" s="94" t="s">
        <v>1062</v>
      </c>
      <c r="M29" s="108" t="s">
        <v>1062</v>
      </c>
      <c r="N29" s="94" t="s">
        <v>349</v>
      </c>
      <c r="O29" s="101" t="s">
        <v>349</v>
      </c>
      <c r="P29" s="117" t="s">
        <v>349</v>
      </c>
      <c r="Q29" s="86" t="s">
        <v>349</v>
      </c>
      <c r="R29" s="107" t="s">
        <v>349</v>
      </c>
      <c r="S29" s="127" t="s">
        <v>349</v>
      </c>
      <c r="T29" s="127" t="s">
        <v>349</v>
      </c>
      <c r="U29" s="127" t="s">
        <v>349</v>
      </c>
      <c r="V29" s="101" t="s">
        <v>349</v>
      </c>
      <c r="W29" s="127"/>
      <c r="X29" s="127"/>
    </row>
    <row r="30" spans="1:24" s="25" customFormat="1" ht="15">
      <c r="B30" s="16" t="s">
        <v>759</v>
      </c>
      <c r="C30" s="126" t="s">
        <v>349</v>
      </c>
      <c r="D30" s="112" t="s">
        <v>349</v>
      </c>
      <c r="E30" s="126" t="s">
        <v>349</v>
      </c>
      <c r="F30" s="107" t="s">
        <v>349</v>
      </c>
      <c r="G30" s="100" t="s">
        <v>349</v>
      </c>
      <c r="H30" s="85" t="s">
        <v>349</v>
      </c>
      <c r="I30" s="107" t="s">
        <v>349</v>
      </c>
      <c r="J30" s="100" t="s">
        <v>349</v>
      </c>
      <c r="K30" s="86" t="s">
        <v>349</v>
      </c>
      <c r="L30" s="94" t="s">
        <v>349</v>
      </c>
      <c r="M30" s="127" t="s">
        <v>349</v>
      </c>
      <c r="N30" s="94" t="s">
        <v>349</v>
      </c>
      <c r="O30" s="101" t="s">
        <v>349</v>
      </c>
      <c r="P30" s="117" t="s">
        <v>349</v>
      </c>
      <c r="Q30" s="86" t="s">
        <v>349</v>
      </c>
      <c r="R30" s="107" t="s">
        <v>349</v>
      </c>
      <c r="S30" s="127" t="s">
        <v>349</v>
      </c>
      <c r="T30" s="127" t="s">
        <v>349</v>
      </c>
      <c r="U30" s="127" t="s">
        <v>349</v>
      </c>
      <c r="V30" s="101" t="s">
        <v>349</v>
      </c>
      <c r="W30" s="127"/>
      <c r="X30" s="127"/>
    </row>
    <row r="31" spans="1:24" s="25" customFormat="1" ht="15">
      <c r="B31" s="16" t="s">
        <v>1064</v>
      </c>
      <c r="C31" s="126">
        <v>500</v>
      </c>
      <c r="D31" s="97">
        <v>1000</v>
      </c>
      <c r="E31" s="126" t="s">
        <v>644</v>
      </c>
      <c r="F31" s="107" t="s">
        <v>1065</v>
      </c>
      <c r="G31" s="100" t="s">
        <v>307</v>
      </c>
      <c r="H31" s="85" t="s">
        <v>307</v>
      </c>
      <c r="I31" s="107" t="s">
        <v>307</v>
      </c>
      <c r="J31" s="100" t="s">
        <v>644</v>
      </c>
      <c r="K31" s="85" t="s">
        <v>644</v>
      </c>
      <c r="L31" s="94" t="s">
        <v>644</v>
      </c>
      <c r="M31" s="126" t="s">
        <v>644</v>
      </c>
      <c r="N31" s="94" t="s">
        <v>644</v>
      </c>
      <c r="O31" s="101" t="s">
        <v>644</v>
      </c>
      <c r="P31" s="117" t="s">
        <v>644</v>
      </c>
      <c r="Q31" s="86" t="s">
        <v>644</v>
      </c>
      <c r="R31" s="107" t="s">
        <v>644</v>
      </c>
      <c r="S31" s="126" t="s">
        <v>644</v>
      </c>
      <c r="T31" s="126" t="s">
        <v>644</v>
      </c>
      <c r="U31" s="127" t="s">
        <v>644</v>
      </c>
      <c r="V31" s="101" t="s">
        <v>644</v>
      </c>
      <c r="W31" s="126"/>
      <c r="X31" s="126"/>
    </row>
    <row r="32" spans="1:24" s="25" customFormat="1" ht="15">
      <c r="B32" s="16"/>
      <c r="C32" s="133" t="s">
        <v>246</v>
      </c>
      <c r="D32" s="112" t="s">
        <v>246</v>
      </c>
      <c r="E32" s="126" t="s">
        <v>246</v>
      </c>
      <c r="F32" s="107"/>
      <c r="G32" s="100" t="s">
        <v>82</v>
      </c>
      <c r="H32" s="85" t="s">
        <v>246</v>
      </c>
      <c r="I32" s="107" t="s">
        <v>246</v>
      </c>
      <c r="J32" s="100" t="s">
        <v>246</v>
      </c>
      <c r="K32" s="85" t="s">
        <v>246</v>
      </c>
      <c r="L32" s="94" t="s">
        <v>246</v>
      </c>
      <c r="M32" s="126" t="s">
        <v>246</v>
      </c>
      <c r="N32" s="88" t="s">
        <v>246</v>
      </c>
      <c r="O32" s="102" t="s">
        <v>246</v>
      </c>
      <c r="P32" s="117" t="s">
        <v>246</v>
      </c>
      <c r="Q32" s="86" t="s">
        <v>246</v>
      </c>
      <c r="R32" s="107" t="s">
        <v>246</v>
      </c>
      <c r="S32" s="127"/>
      <c r="T32" s="127"/>
      <c r="U32" s="127" t="s">
        <v>246</v>
      </c>
      <c r="V32" s="101" t="s">
        <v>246</v>
      </c>
      <c r="W32" s="127"/>
      <c r="X32" s="127"/>
    </row>
    <row r="33" spans="1:25" s="25" customFormat="1" ht="15">
      <c r="B33" s="16" t="s">
        <v>761</v>
      </c>
      <c r="C33" s="126"/>
      <c r="D33" s="112"/>
      <c r="E33" s="126"/>
      <c r="F33" s="107"/>
      <c r="G33" s="100"/>
      <c r="H33" s="85"/>
      <c r="I33" s="107"/>
      <c r="J33" s="100"/>
      <c r="K33" s="85"/>
      <c r="L33" s="94"/>
      <c r="M33" s="126"/>
      <c r="N33" s="86"/>
      <c r="O33" s="101" t="s">
        <v>246</v>
      </c>
      <c r="P33" s="107" t="s">
        <v>82</v>
      </c>
      <c r="Q33" s="107" t="s">
        <v>82</v>
      </c>
      <c r="R33" s="107" t="s">
        <v>82</v>
      </c>
      <c r="S33" s="126" t="s">
        <v>82</v>
      </c>
      <c r="T33" s="126" t="s">
        <v>82</v>
      </c>
      <c r="U33" s="127" t="s">
        <v>82</v>
      </c>
      <c r="V33" s="101" t="s">
        <v>82</v>
      </c>
      <c r="W33" s="126"/>
      <c r="X33" s="126"/>
    </row>
    <row r="34" spans="1:25" s="25" customFormat="1" ht="59.25" customHeight="1">
      <c r="B34" s="16" t="s">
        <v>375</v>
      </c>
      <c r="C34" s="126" t="s">
        <v>1066</v>
      </c>
      <c r="D34" s="112" t="s">
        <v>1066</v>
      </c>
      <c r="E34" s="126" t="s">
        <v>1067</v>
      </c>
      <c r="F34" s="107" t="s">
        <v>1067</v>
      </c>
      <c r="G34" s="100" t="s">
        <v>1067</v>
      </c>
      <c r="H34" s="85" t="s">
        <v>1067</v>
      </c>
      <c r="I34" s="107" t="s">
        <v>1066</v>
      </c>
      <c r="J34" s="100" t="s">
        <v>1067</v>
      </c>
      <c r="K34" s="117" t="s">
        <v>379</v>
      </c>
      <c r="L34" s="117" t="s">
        <v>379</v>
      </c>
      <c r="M34" s="117" t="s">
        <v>379</v>
      </c>
      <c r="N34" s="86" t="s">
        <v>1068</v>
      </c>
      <c r="O34" s="101" t="s">
        <v>1068</v>
      </c>
      <c r="P34" s="117" t="s">
        <v>379</v>
      </c>
      <c r="Q34" s="117" t="s">
        <v>379</v>
      </c>
      <c r="R34" s="117" t="s">
        <v>379</v>
      </c>
      <c r="S34" s="127" t="s">
        <v>380</v>
      </c>
      <c r="T34" s="127" t="s">
        <v>380</v>
      </c>
      <c r="U34" s="127" t="s">
        <v>379</v>
      </c>
      <c r="V34" s="107" t="s">
        <v>379</v>
      </c>
      <c r="W34" s="127"/>
      <c r="X34" s="127"/>
    </row>
    <row r="35" spans="1:25" s="25" customFormat="1" ht="15">
      <c r="B35" s="16" t="s">
        <v>767</v>
      </c>
      <c r="C35" s="126" t="s">
        <v>307</v>
      </c>
      <c r="D35" s="112" t="s">
        <v>307</v>
      </c>
      <c r="E35" s="126" t="s">
        <v>307</v>
      </c>
      <c r="F35" s="107" t="s">
        <v>307</v>
      </c>
      <c r="G35" s="100" t="s">
        <v>307</v>
      </c>
      <c r="H35" s="85" t="s">
        <v>307</v>
      </c>
      <c r="I35" s="107" t="s">
        <v>1069</v>
      </c>
      <c r="J35" s="100" t="s">
        <v>307</v>
      </c>
      <c r="K35" s="85" t="s">
        <v>307</v>
      </c>
      <c r="L35" s="94" t="s">
        <v>307</v>
      </c>
      <c r="M35" s="126" t="s">
        <v>307</v>
      </c>
      <c r="N35" s="86" t="s">
        <v>349</v>
      </c>
      <c r="O35" s="101" t="s">
        <v>349</v>
      </c>
      <c r="P35" s="117" t="s">
        <v>349</v>
      </c>
      <c r="Q35" s="86" t="s">
        <v>349</v>
      </c>
      <c r="R35" s="107" t="s">
        <v>349</v>
      </c>
      <c r="S35" s="127" t="s">
        <v>349</v>
      </c>
      <c r="T35" s="127" t="s">
        <v>349</v>
      </c>
      <c r="U35" s="127" t="s">
        <v>349</v>
      </c>
      <c r="V35" s="101" t="s">
        <v>349</v>
      </c>
      <c r="W35" s="127"/>
      <c r="X35" s="127"/>
    </row>
    <row r="36" spans="1:25" s="25" customFormat="1" ht="15">
      <c r="B36" s="16" t="s">
        <v>1070</v>
      </c>
      <c r="C36" s="126" t="s">
        <v>307</v>
      </c>
      <c r="D36" s="112" t="s">
        <v>307</v>
      </c>
      <c r="E36" s="126" t="s">
        <v>307</v>
      </c>
      <c r="F36" s="107" t="s">
        <v>307</v>
      </c>
      <c r="G36" s="100" t="s">
        <v>307</v>
      </c>
      <c r="H36" s="85" t="s">
        <v>349</v>
      </c>
      <c r="I36" s="154" t="s">
        <v>349</v>
      </c>
      <c r="J36" s="100" t="s">
        <v>349</v>
      </c>
      <c r="K36" s="112" t="s">
        <v>307</v>
      </c>
      <c r="L36" s="94" t="s">
        <v>349</v>
      </c>
      <c r="M36" s="126" t="s">
        <v>307</v>
      </c>
      <c r="N36" s="86" t="s">
        <v>349</v>
      </c>
      <c r="O36" s="101" t="s">
        <v>349</v>
      </c>
      <c r="P36" s="117" t="s">
        <v>349</v>
      </c>
      <c r="Q36" s="86" t="s">
        <v>349</v>
      </c>
      <c r="R36" s="107" t="s">
        <v>349</v>
      </c>
      <c r="S36" s="127" t="s">
        <v>349</v>
      </c>
      <c r="T36" s="127" t="s">
        <v>349</v>
      </c>
      <c r="U36" s="127" t="s">
        <v>349</v>
      </c>
      <c r="V36" s="101" t="s">
        <v>349</v>
      </c>
      <c r="W36" s="127"/>
      <c r="X36" s="127"/>
    </row>
    <row r="37" spans="1:25" s="25" customFormat="1" ht="15">
      <c r="B37" s="16" t="s">
        <v>384</v>
      </c>
      <c r="C37" s="126" t="s">
        <v>349</v>
      </c>
      <c r="D37" s="112" t="s">
        <v>349</v>
      </c>
      <c r="E37" s="126" t="s">
        <v>307</v>
      </c>
      <c r="F37" s="107" t="s">
        <v>349</v>
      </c>
      <c r="G37" s="100" t="s">
        <v>349</v>
      </c>
      <c r="H37" s="85" t="s">
        <v>349</v>
      </c>
      <c r="I37" s="100" t="s">
        <v>307</v>
      </c>
      <c r="J37" s="100" t="s">
        <v>307</v>
      </c>
      <c r="K37" s="85" t="s">
        <v>349</v>
      </c>
      <c r="L37" s="94" t="s">
        <v>349</v>
      </c>
      <c r="M37" s="126" t="s">
        <v>349</v>
      </c>
      <c r="N37" s="86" t="s">
        <v>349</v>
      </c>
      <c r="O37" s="101" t="s">
        <v>349</v>
      </c>
      <c r="P37" s="117" t="s">
        <v>349</v>
      </c>
      <c r="Q37" s="86" t="s">
        <v>349</v>
      </c>
      <c r="R37" s="107" t="s">
        <v>349</v>
      </c>
      <c r="S37" s="127" t="s">
        <v>349</v>
      </c>
      <c r="T37" s="127" t="s">
        <v>349</v>
      </c>
      <c r="U37" s="127" t="s">
        <v>349</v>
      </c>
      <c r="V37" s="101" t="s">
        <v>349</v>
      </c>
      <c r="W37" s="127"/>
      <c r="X37" s="127"/>
    </row>
    <row r="38" spans="1:25" s="25" customFormat="1" ht="15">
      <c r="B38" s="16" t="s">
        <v>385</v>
      </c>
      <c r="C38" s="133" t="s">
        <v>349</v>
      </c>
      <c r="D38" s="112" t="s">
        <v>349</v>
      </c>
      <c r="E38" s="126" t="s">
        <v>349</v>
      </c>
      <c r="F38" s="107" t="s">
        <v>349</v>
      </c>
      <c r="G38" s="100" t="s">
        <v>349</v>
      </c>
      <c r="H38" s="85" t="s">
        <v>349</v>
      </c>
      <c r="I38" s="100" t="s">
        <v>307</v>
      </c>
      <c r="J38" s="107" t="s">
        <v>349</v>
      </c>
      <c r="K38" s="85" t="s">
        <v>349</v>
      </c>
      <c r="L38" s="94" t="s">
        <v>349</v>
      </c>
      <c r="M38" s="126" t="s">
        <v>349</v>
      </c>
      <c r="N38" s="94" t="s">
        <v>349</v>
      </c>
      <c r="O38" s="101" t="s">
        <v>349</v>
      </c>
      <c r="P38" s="117" t="s">
        <v>349</v>
      </c>
      <c r="Q38" s="86" t="s">
        <v>349</v>
      </c>
      <c r="R38" s="107" t="s">
        <v>349</v>
      </c>
      <c r="S38" s="127" t="s">
        <v>349</v>
      </c>
      <c r="T38" s="127" t="s">
        <v>349</v>
      </c>
      <c r="U38" s="127" t="s">
        <v>349</v>
      </c>
      <c r="V38" s="101" t="s">
        <v>349</v>
      </c>
      <c r="W38" s="127"/>
      <c r="X38" s="127"/>
    </row>
    <row r="39" spans="1:25" s="25" customFormat="1" ht="15">
      <c r="B39" s="16"/>
      <c r="C39" s="133"/>
      <c r="D39" s="112"/>
      <c r="E39" s="126" t="s">
        <v>246</v>
      </c>
      <c r="F39" s="100" t="s">
        <v>246</v>
      </c>
      <c r="G39" s="100" t="s">
        <v>82</v>
      </c>
      <c r="H39" s="85"/>
      <c r="I39" s="100" t="s">
        <v>246</v>
      </c>
      <c r="J39" s="107" t="s">
        <v>246</v>
      </c>
      <c r="K39" s="85"/>
      <c r="L39" s="94"/>
      <c r="M39" s="126"/>
      <c r="N39" s="88"/>
      <c r="O39" s="102" t="s">
        <v>246</v>
      </c>
      <c r="P39" s="117"/>
      <c r="Q39" s="86"/>
      <c r="R39" s="107"/>
      <c r="S39" s="127"/>
      <c r="T39" s="127"/>
      <c r="U39" s="127" t="s">
        <v>246</v>
      </c>
      <c r="V39" s="101" t="s">
        <v>246</v>
      </c>
      <c r="W39" s="127"/>
      <c r="X39" s="127"/>
    </row>
    <row r="40" spans="1:25" s="25" customFormat="1" ht="45">
      <c r="B40" s="16" t="s">
        <v>168</v>
      </c>
      <c r="C40" s="126" t="s">
        <v>1071</v>
      </c>
      <c r="D40" s="98" t="s">
        <v>1072</v>
      </c>
      <c r="E40" s="108" t="s">
        <v>1073</v>
      </c>
      <c r="F40" s="100" t="s">
        <v>1074</v>
      </c>
      <c r="G40" s="100" t="s">
        <v>1074</v>
      </c>
      <c r="H40" s="85" t="s">
        <v>1074</v>
      </c>
      <c r="I40" s="101" t="s">
        <v>1075</v>
      </c>
      <c r="J40" s="107" t="s">
        <v>1076</v>
      </c>
      <c r="K40" s="85" t="s">
        <v>1077</v>
      </c>
      <c r="L40" s="94" t="s">
        <v>1077</v>
      </c>
      <c r="M40" s="126" t="s">
        <v>1078</v>
      </c>
      <c r="N40" s="86" t="s">
        <v>1079</v>
      </c>
      <c r="O40" s="101" t="s">
        <v>1080</v>
      </c>
      <c r="P40" s="117" t="s">
        <v>1081</v>
      </c>
      <c r="Q40" s="86" t="s">
        <v>1080</v>
      </c>
      <c r="R40" s="107" t="s">
        <v>1082</v>
      </c>
      <c r="S40" s="126" t="s">
        <v>1083</v>
      </c>
      <c r="T40" s="126" t="s">
        <v>1080</v>
      </c>
      <c r="U40" s="127" t="s">
        <v>1084</v>
      </c>
      <c r="V40" s="101" t="s">
        <v>1085</v>
      </c>
      <c r="W40" s="126"/>
      <c r="X40" s="126"/>
    </row>
    <row r="41" spans="1:25" s="25" customFormat="1" ht="45">
      <c r="B41" s="16" t="s">
        <v>775</v>
      </c>
      <c r="C41" s="127" t="s">
        <v>1086</v>
      </c>
      <c r="D41" s="98" t="s">
        <v>1087</v>
      </c>
      <c r="E41" s="127" t="s">
        <v>1088</v>
      </c>
      <c r="F41" s="101" t="s">
        <v>1089</v>
      </c>
      <c r="G41" s="101" t="s">
        <v>1089</v>
      </c>
      <c r="H41" s="86" t="s">
        <v>1090</v>
      </c>
      <c r="I41" s="100" t="s">
        <v>1091</v>
      </c>
      <c r="J41" s="101" t="s">
        <v>1092</v>
      </c>
      <c r="K41" s="86" t="s">
        <v>1093</v>
      </c>
      <c r="L41" s="94" t="s">
        <v>1093</v>
      </c>
      <c r="M41" s="127" t="s">
        <v>1094</v>
      </c>
      <c r="N41" s="86" t="s">
        <v>1095</v>
      </c>
      <c r="O41" s="101" t="s">
        <v>1095</v>
      </c>
      <c r="P41" s="117" t="s">
        <v>1095</v>
      </c>
      <c r="Q41" s="97" t="s">
        <v>1096</v>
      </c>
      <c r="R41" s="108" t="s">
        <v>1096</v>
      </c>
      <c r="S41" s="127" t="s">
        <v>1097</v>
      </c>
      <c r="T41" s="127" t="s">
        <v>1098</v>
      </c>
      <c r="U41" s="127" t="s">
        <v>1099</v>
      </c>
      <c r="V41" s="101" t="s">
        <v>1099</v>
      </c>
      <c r="W41" s="127"/>
      <c r="X41" s="127"/>
    </row>
    <row r="42" spans="1:25" s="54" customFormat="1" ht="20.25" customHeight="1">
      <c r="A42" s="32"/>
      <c r="B42" s="16"/>
      <c r="C42" s="126" t="s">
        <v>246</v>
      </c>
      <c r="D42" s="145" t="s">
        <v>246</v>
      </c>
      <c r="E42" s="126" t="s">
        <v>246</v>
      </c>
      <c r="F42" s="101"/>
      <c r="G42" s="100" t="s">
        <v>246</v>
      </c>
      <c r="H42" s="85" t="s">
        <v>246</v>
      </c>
      <c r="I42" s="101" t="s">
        <v>246</v>
      </c>
      <c r="J42" s="100" t="s">
        <v>246</v>
      </c>
      <c r="K42" s="85" t="s">
        <v>246</v>
      </c>
      <c r="L42" s="94" t="s">
        <v>246</v>
      </c>
      <c r="M42" s="126" t="s">
        <v>246</v>
      </c>
      <c r="N42" s="88" t="s">
        <v>246</v>
      </c>
      <c r="O42" s="102" t="s">
        <v>246</v>
      </c>
      <c r="P42" s="117" t="s">
        <v>246</v>
      </c>
      <c r="Q42" s="88" t="s">
        <v>246</v>
      </c>
      <c r="R42" s="102" t="s">
        <v>246</v>
      </c>
      <c r="S42" s="126"/>
      <c r="T42" s="126"/>
      <c r="U42" s="109" t="s">
        <v>246</v>
      </c>
      <c r="V42" s="102" t="s">
        <v>246</v>
      </c>
      <c r="W42" s="126"/>
      <c r="X42" s="126"/>
      <c r="Y42" s="32"/>
    </row>
    <row r="43" spans="1:25" s="25" customFormat="1" ht="30">
      <c r="B43" s="42" t="s">
        <v>406</v>
      </c>
      <c r="C43" s="127" t="s">
        <v>1100</v>
      </c>
      <c r="D43" s="97" t="s">
        <v>407</v>
      </c>
      <c r="E43" s="127" t="s">
        <v>408</v>
      </c>
      <c r="F43" s="101" t="s">
        <v>1101</v>
      </c>
      <c r="G43" s="101" t="s">
        <v>1102</v>
      </c>
      <c r="H43" s="86" t="s">
        <v>1103</v>
      </c>
      <c r="I43" s="101" t="s">
        <v>1104</v>
      </c>
      <c r="J43" s="101" t="s">
        <v>1101</v>
      </c>
      <c r="K43" s="98" t="s">
        <v>409</v>
      </c>
      <c r="L43" s="98" t="s">
        <v>409</v>
      </c>
      <c r="M43" s="127" t="s">
        <v>409</v>
      </c>
      <c r="N43" s="86" t="s">
        <v>1105</v>
      </c>
      <c r="O43" s="101" t="s">
        <v>1106</v>
      </c>
      <c r="P43" s="117" t="s">
        <v>1107</v>
      </c>
      <c r="Q43" s="97" t="s">
        <v>409</v>
      </c>
      <c r="R43" s="108" t="s">
        <v>409</v>
      </c>
      <c r="S43" s="127" t="s">
        <v>415</v>
      </c>
      <c r="T43" s="127" t="s">
        <v>413</v>
      </c>
      <c r="U43" s="127" t="s">
        <v>1107</v>
      </c>
      <c r="V43" s="101" t="s">
        <v>413</v>
      </c>
      <c r="W43" s="127"/>
      <c r="X43" s="127"/>
    </row>
    <row r="44" spans="1:25" s="54" customFormat="1" ht="30" customHeight="1">
      <c r="A44" s="32"/>
      <c r="B44" s="16" t="s">
        <v>205</v>
      </c>
      <c r="C44" s="126" t="s">
        <v>419</v>
      </c>
      <c r="D44" s="112" t="s">
        <v>419</v>
      </c>
      <c r="E44" s="156">
        <v>5.3</v>
      </c>
      <c r="F44" s="107" t="s">
        <v>418</v>
      </c>
      <c r="G44" s="100" t="s">
        <v>419</v>
      </c>
      <c r="H44" s="85" t="s">
        <v>419</v>
      </c>
      <c r="I44" s="107" t="s">
        <v>418</v>
      </c>
      <c r="J44" s="107" t="s">
        <v>419</v>
      </c>
      <c r="K44" s="94" t="s">
        <v>420</v>
      </c>
      <c r="L44" s="94" t="s">
        <v>420</v>
      </c>
      <c r="M44" s="126" t="s">
        <v>420</v>
      </c>
      <c r="N44" s="94">
        <v>5.2</v>
      </c>
      <c r="O44" s="101" t="s">
        <v>419</v>
      </c>
      <c r="P44" s="108">
        <v>5.2</v>
      </c>
      <c r="Q44" s="98" t="s">
        <v>419</v>
      </c>
      <c r="R44" s="108" t="s">
        <v>419</v>
      </c>
      <c r="S44" s="127" t="s">
        <v>1108</v>
      </c>
      <c r="T44" s="127" t="s">
        <v>419</v>
      </c>
      <c r="U44" s="127">
        <v>5.2</v>
      </c>
      <c r="V44" s="101" t="s">
        <v>419</v>
      </c>
      <c r="W44" s="127"/>
      <c r="X44" s="127"/>
      <c r="Y44" s="32"/>
    </row>
    <row r="45" spans="1:25" s="25" customFormat="1" ht="15">
      <c r="B45" s="42" t="s">
        <v>421</v>
      </c>
      <c r="C45" s="127" t="s">
        <v>422</v>
      </c>
      <c r="D45" s="97" t="s">
        <v>422</v>
      </c>
      <c r="E45" s="127" t="s">
        <v>644</v>
      </c>
      <c r="F45" s="107" t="s">
        <v>423</v>
      </c>
      <c r="G45" s="101" t="s">
        <v>423</v>
      </c>
      <c r="H45" s="86" t="s">
        <v>423</v>
      </c>
      <c r="I45" s="107" t="s">
        <v>644</v>
      </c>
      <c r="J45" s="101" t="s">
        <v>644</v>
      </c>
      <c r="K45" s="86" t="s">
        <v>423</v>
      </c>
      <c r="L45" s="94" t="s">
        <v>423</v>
      </c>
      <c r="M45" s="127" t="s">
        <v>423</v>
      </c>
      <c r="N45" s="89" t="s">
        <v>82</v>
      </c>
      <c r="O45" s="101" t="s">
        <v>246</v>
      </c>
      <c r="P45" s="117" t="s">
        <v>425</v>
      </c>
      <c r="Q45" s="86" t="s">
        <v>425</v>
      </c>
      <c r="R45" s="107" t="s">
        <v>425</v>
      </c>
      <c r="S45" s="127" t="s">
        <v>1109</v>
      </c>
      <c r="T45" s="127" t="s">
        <v>1109</v>
      </c>
      <c r="U45" s="127" t="s">
        <v>425</v>
      </c>
      <c r="V45" s="101" t="s">
        <v>425</v>
      </c>
      <c r="W45" s="127"/>
      <c r="X45" s="127"/>
    </row>
    <row r="46" spans="1:25" s="25" customFormat="1" ht="30">
      <c r="B46" s="16" t="s">
        <v>787</v>
      </c>
      <c r="C46" s="126" t="s">
        <v>1110</v>
      </c>
      <c r="D46" s="112" t="s">
        <v>1111</v>
      </c>
      <c r="E46" s="127" t="s">
        <v>1112</v>
      </c>
      <c r="F46" s="107" t="s">
        <v>1110</v>
      </c>
      <c r="G46" s="100" t="s">
        <v>1110</v>
      </c>
      <c r="H46" s="85" t="s">
        <v>1112</v>
      </c>
      <c r="I46" s="107" t="s">
        <v>1112</v>
      </c>
      <c r="J46" s="101" t="s">
        <v>1112</v>
      </c>
      <c r="K46" s="86" t="s">
        <v>1113</v>
      </c>
      <c r="L46" s="94" t="s">
        <v>1114</v>
      </c>
      <c r="M46" s="127" t="s">
        <v>1113</v>
      </c>
      <c r="N46" s="86" t="s">
        <v>1112</v>
      </c>
      <c r="O46" s="101" t="s">
        <v>1112</v>
      </c>
      <c r="P46" s="97" t="s">
        <v>1115</v>
      </c>
      <c r="Q46" s="86" t="s">
        <v>1115</v>
      </c>
      <c r="R46" s="107" t="s">
        <v>1115</v>
      </c>
      <c r="S46" s="127" t="s">
        <v>1116</v>
      </c>
      <c r="T46" s="127" t="s">
        <v>1116</v>
      </c>
      <c r="U46" s="127" t="s">
        <v>1112</v>
      </c>
      <c r="V46" s="108" t="s">
        <v>1112</v>
      </c>
      <c r="W46" s="127"/>
      <c r="X46" s="127"/>
    </row>
    <row r="47" spans="1:25" s="24" customFormat="1" ht="75">
      <c r="A47" s="25"/>
      <c r="B47" s="16" t="s">
        <v>435</v>
      </c>
      <c r="C47" s="112" t="s">
        <v>438</v>
      </c>
      <c r="D47" s="112" t="s">
        <v>436</v>
      </c>
      <c r="E47" s="127" t="s">
        <v>437</v>
      </c>
      <c r="F47" s="107" t="s">
        <v>438</v>
      </c>
      <c r="G47" s="100" t="s">
        <v>438</v>
      </c>
      <c r="H47" s="85" t="s">
        <v>437</v>
      </c>
      <c r="I47" s="107" t="s">
        <v>338</v>
      </c>
      <c r="J47" s="107" t="s">
        <v>1117</v>
      </c>
      <c r="K47" s="85" t="s">
        <v>1118</v>
      </c>
      <c r="L47" s="98" t="s">
        <v>1119</v>
      </c>
      <c r="M47" s="126" t="s">
        <v>1118</v>
      </c>
      <c r="N47" s="86" t="s">
        <v>1120</v>
      </c>
      <c r="O47" s="101" t="s">
        <v>441</v>
      </c>
      <c r="P47" s="117" t="s">
        <v>441</v>
      </c>
      <c r="Q47" s="86" t="s">
        <v>441</v>
      </c>
      <c r="R47" s="107" t="s">
        <v>441</v>
      </c>
      <c r="S47" s="127" t="s">
        <v>441</v>
      </c>
      <c r="T47" s="127" t="s">
        <v>441</v>
      </c>
      <c r="U47" s="127" t="s">
        <v>441</v>
      </c>
      <c r="V47" s="101" t="s">
        <v>441</v>
      </c>
      <c r="W47" s="127"/>
      <c r="X47" s="127"/>
      <c r="Y47" s="25"/>
    </row>
    <row r="48" spans="1:25" s="25" customFormat="1" ht="240">
      <c r="B48" s="16" t="s">
        <v>181</v>
      </c>
      <c r="C48" s="146" t="s">
        <v>1121</v>
      </c>
      <c r="D48" s="146" t="s">
        <v>1122</v>
      </c>
      <c r="E48" s="146" t="s">
        <v>1123</v>
      </c>
      <c r="F48" s="221" t="s">
        <v>1124</v>
      </c>
      <c r="G48" s="90" t="s">
        <v>1125</v>
      </c>
      <c r="H48" s="90" t="s">
        <v>1126</v>
      </c>
      <c r="I48" s="86" t="s">
        <v>1127</v>
      </c>
      <c r="J48" s="90" t="s">
        <v>1128</v>
      </c>
      <c r="K48" s="97" t="s">
        <v>1129</v>
      </c>
      <c r="L48" s="97" t="s">
        <v>1130</v>
      </c>
      <c r="M48" s="97" t="s">
        <v>1131</v>
      </c>
      <c r="N48" s="90" t="s">
        <v>1132</v>
      </c>
      <c r="O48" s="200" t="s">
        <v>1133</v>
      </c>
      <c r="P48" s="162" t="s">
        <v>1134</v>
      </c>
      <c r="Q48" s="90" t="s">
        <v>1135</v>
      </c>
      <c r="R48" s="90" t="s">
        <v>1136</v>
      </c>
      <c r="S48" s="146" t="s">
        <v>1137</v>
      </c>
      <c r="T48" s="146" t="s">
        <v>1138</v>
      </c>
      <c r="U48" s="143" t="s">
        <v>1139</v>
      </c>
      <c r="V48" s="193" t="s">
        <v>1140</v>
      </c>
      <c r="W48" s="146"/>
      <c r="X48" s="146"/>
    </row>
    <row r="49" spans="2:24" s="25" customFormat="1" ht="38.25" customHeight="1">
      <c r="B49" s="16" t="s">
        <v>457</v>
      </c>
      <c r="C49" s="127" t="s">
        <v>307</v>
      </c>
      <c r="D49" s="97" t="s">
        <v>307</v>
      </c>
      <c r="E49" s="127" t="s">
        <v>307</v>
      </c>
      <c r="F49" s="101" t="s">
        <v>307</v>
      </c>
      <c r="G49" s="101" t="s">
        <v>307</v>
      </c>
      <c r="H49" s="86" t="s">
        <v>307</v>
      </c>
      <c r="I49" s="107" t="s">
        <v>1141</v>
      </c>
      <c r="J49" s="101" t="s">
        <v>307</v>
      </c>
      <c r="K49" s="86" t="s">
        <v>307</v>
      </c>
      <c r="L49" s="94" t="s">
        <v>307</v>
      </c>
      <c r="M49" s="127" t="s">
        <v>307</v>
      </c>
      <c r="N49" s="86" t="s">
        <v>307</v>
      </c>
      <c r="O49" s="101" t="s">
        <v>307</v>
      </c>
      <c r="P49" s="117" t="s">
        <v>307</v>
      </c>
      <c r="Q49" s="86" t="s">
        <v>307</v>
      </c>
      <c r="R49" s="107" t="s">
        <v>307</v>
      </c>
      <c r="S49" s="127" t="s">
        <v>307</v>
      </c>
      <c r="T49" s="127" t="s">
        <v>307</v>
      </c>
      <c r="U49" s="127" t="s">
        <v>307</v>
      </c>
      <c r="V49" s="101" t="s">
        <v>307</v>
      </c>
      <c r="W49" s="127"/>
      <c r="X49" s="127"/>
    </row>
    <row r="50" spans="2:24" s="25" customFormat="1" ht="15">
      <c r="B50" s="16" t="s">
        <v>458</v>
      </c>
      <c r="C50" s="127" t="s">
        <v>459</v>
      </c>
      <c r="D50" s="97" t="s">
        <v>459</v>
      </c>
      <c r="E50" s="127" t="s">
        <v>1142</v>
      </c>
      <c r="F50" s="101" t="s">
        <v>1143</v>
      </c>
      <c r="G50" s="101" t="s">
        <v>1143</v>
      </c>
      <c r="H50" s="86" t="s">
        <v>1143</v>
      </c>
      <c r="I50" s="107" t="s">
        <v>1144</v>
      </c>
      <c r="J50" s="101" t="s">
        <v>1142</v>
      </c>
      <c r="K50" s="86" t="s">
        <v>1143</v>
      </c>
      <c r="L50" s="94" t="s">
        <v>1143</v>
      </c>
      <c r="M50" s="127" t="s">
        <v>1143</v>
      </c>
      <c r="N50" s="86" t="s">
        <v>1145</v>
      </c>
      <c r="O50" s="101" t="s">
        <v>1146</v>
      </c>
      <c r="P50" s="117" t="s">
        <v>1147</v>
      </c>
      <c r="Q50" s="86" t="s">
        <v>1147</v>
      </c>
      <c r="R50" s="107" t="s">
        <v>1147</v>
      </c>
      <c r="S50" s="127" t="s">
        <v>1148</v>
      </c>
      <c r="T50" s="127" t="s">
        <v>1148</v>
      </c>
      <c r="U50" s="127" t="s">
        <v>1149</v>
      </c>
      <c r="V50" s="127" t="s">
        <v>1150</v>
      </c>
      <c r="W50" s="127"/>
      <c r="X50" s="127"/>
    </row>
    <row r="51" spans="2:24" s="25" customFormat="1" ht="30">
      <c r="B51" s="16" t="s">
        <v>194</v>
      </c>
      <c r="C51" s="127" t="s">
        <v>1151</v>
      </c>
      <c r="D51" s="97" t="s">
        <v>1152</v>
      </c>
      <c r="E51" s="127" t="s">
        <v>462</v>
      </c>
      <c r="F51" s="101" t="s">
        <v>462</v>
      </c>
      <c r="G51" s="101" t="s">
        <v>462</v>
      </c>
      <c r="H51" s="86" t="s">
        <v>462</v>
      </c>
      <c r="I51" s="107" t="s">
        <v>1152</v>
      </c>
      <c r="J51" s="101" t="s">
        <v>462</v>
      </c>
      <c r="K51" s="86" t="s">
        <v>462</v>
      </c>
      <c r="L51" s="94" t="s">
        <v>462</v>
      </c>
      <c r="M51" s="127" t="s">
        <v>462</v>
      </c>
      <c r="N51" s="86" t="s">
        <v>462</v>
      </c>
      <c r="O51" s="101" t="s">
        <v>462</v>
      </c>
      <c r="P51" s="117" t="s">
        <v>462</v>
      </c>
      <c r="Q51" s="86" t="s">
        <v>462</v>
      </c>
      <c r="R51" s="107" t="s">
        <v>462</v>
      </c>
      <c r="S51" s="127" t="s">
        <v>462</v>
      </c>
      <c r="T51" s="127" t="s">
        <v>462</v>
      </c>
      <c r="U51" s="127" t="s">
        <v>462</v>
      </c>
      <c r="V51" s="101" t="s">
        <v>462</v>
      </c>
      <c r="W51" s="127"/>
      <c r="X51" s="127"/>
    </row>
    <row r="52" spans="2:24" s="25" customFormat="1" ht="15">
      <c r="B52" s="16" t="s">
        <v>1153</v>
      </c>
      <c r="C52" s="127" t="s">
        <v>1154</v>
      </c>
      <c r="D52" s="97" t="s">
        <v>1154</v>
      </c>
      <c r="E52" s="127" t="s">
        <v>1154</v>
      </c>
      <c r="F52" s="101" t="s">
        <v>1154</v>
      </c>
      <c r="G52" s="101" t="s">
        <v>1154</v>
      </c>
      <c r="H52" s="86" t="s">
        <v>1154</v>
      </c>
      <c r="I52" s="107" t="s">
        <v>1154</v>
      </c>
      <c r="J52" s="101" t="s">
        <v>1154</v>
      </c>
      <c r="K52" s="86" t="s">
        <v>1154</v>
      </c>
      <c r="L52" s="94" t="s">
        <v>1154</v>
      </c>
      <c r="M52" s="127" t="s">
        <v>1154</v>
      </c>
      <c r="N52" s="86" t="s">
        <v>1154</v>
      </c>
      <c r="O52" s="101" t="s">
        <v>1154</v>
      </c>
      <c r="P52" s="117" t="s">
        <v>1154</v>
      </c>
      <c r="Q52" s="86" t="s">
        <v>1154</v>
      </c>
      <c r="R52" s="107" t="s">
        <v>1154</v>
      </c>
      <c r="S52" s="127" t="s">
        <v>1155</v>
      </c>
      <c r="T52" s="127" t="s">
        <v>1155</v>
      </c>
      <c r="U52" s="127" t="s">
        <v>1154</v>
      </c>
      <c r="V52" s="101" t="s">
        <v>1154</v>
      </c>
      <c r="W52" s="127"/>
      <c r="X52" s="127"/>
    </row>
    <row r="53" spans="2:24" s="25" customFormat="1" ht="15">
      <c r="B53" s="16" t="s">
        <v>465</v>
      </c>
      <c r="C53" s="127" t="s">
        <v>1156</v>
      </c>
      <c r="D53" s="127" t="s">
        <v>1156</v>
      </c>
      <c r="E53" s="127" t="s">
        <v>1156</v>
      </c>
      <c r="F53" s="127" t="s">
        <v>1156</v>
      </c>
      <c r="G53" s="127" t="s">
        <v>1156</v>
      </c>
      <c r="H53" s="127" t="s">
        <v>1156</v>
      </c>
      <c r="I53" s="127" t="s">
        <v>1156</v>
      </c>
      <c r="J53" s="127" t="s">
        <v>1156</v>
      </c>
      <c r="K53" s="127" t="s">
        <v>1156</v>
      </c>
      <c r="L53" s="127" t="s">
        <v>1156</v>
      </c>
      <c r="M53" s="127" t="s">
        <v>1156</v>
      </c>
      <c r="N53" s="86" t="s">
        <v>1157</v>
      </c>
      <c r="O53" s="101" t="s">
        <v>466</v>
      </c>
      <c r="P53" s="117" t="s">
        <v>1157</v>
      </c>
      <c r="Q53" s="127" t="s">
        <v>1156</v>
      </c>
      <c r="R53" s="127" t="s">
        <v>1156</v>
      </c>
      <c r="S53" s="127" t="s">
        <v>1157</v>
      </c>
      <c r="T53" s="127" t="s">
        <v>1157</v>
      </c>
      <c r="U53" s="127" t="s">
        <v>1157</v>
      </c>
      <c r="V53" s="101" t="s">
        <v>1158</v>
      </c>
      <c r="W53" s="127"/>
      <c r="X53" s="127"/>
    </row>
    <row r="54" spans="2:24" s="25" customFormat="1" ht="60">
      <c r="B54" s="16" t="s">
        <v>473</v>
      </c>
      <c r="C54" s="127" t="s">
        <v>143</v>
      </c>
      <c r="D54" s="97" t="s">
        <v>474</v>
      </c>
      <c r="E54" s="127" t="s">
        <v>143</v>
      </c>
      <c r="F54" s="101" t="s">
        <v>143</v>
      </c>
      <c r="G54" s="101" t="s">
        <v>143</v>
      </c>
      <c r="H54" s="86" t="s">
        <v>143</v>
      </c>
      <c r="I54" s="107" t="s">
        <v>143</v>
      </c>
      <c r="J54" s="101" t="s">
        <v>1159</v>
      </c>
      <c r="K54" s="86" t="s">
        <v>143</v>
      </c>
      <c r="L54" s="94" t="s">
        <v>143</v>
      </c>
      <c r="M54" s="127" t="s">
        <v>143</v>
      </c>
      <c r="N54" s="101" t="s">
        <v>143</v>
      </c>
      <c r="O54" s="101" t="s">
        <v>143</v>
      </c>
      <c r="P54" s="117" t="s">
        <v>143</v>
      </c>
      <c r="Q54" s="86" t="s">
        <v>143</v>
      </c>
      <c r="R54" s="107" t="s">
        <v>143</v>
      </c>
      <c r="S54" s="127" t="s">
        <v>143</v>
      </c>
      <c r="T54" s="127" t="s">
        <v>143</v>
      </c>
      <c r="U54" s="127" t="s">
        <v>1160</v>
      </c>
      <c r="V54" s="101" t="s">
        <v>1161</v>
      </c>
      <c r="W54" s="127"/>
      <c r="X54" s="127"/>
    </row>
    <row r="55" spans="2:24" s="25" customFormat="1" ht="34.5" customHeight="1">
      <c r="B55" s="16" t="s">
        <v>801</v>
      </c>
      <c r="C55" s="108" t="s">
        <v>1162</v>
      </c>
      <c r="D55" s="108" t="s">
        <v>1162</v>
      </c>
      <c r="E55" s="101" t="s">
        <v>1162</v>
      </c>
      <c r="F55" s="101" t="s">
        <v>1162</v>
      </c>
      <c r="G55" s="101" t="s">
        <v>1162</v>
      </c>
      <c r="H55" s="86" t="s">
        <v>1162</v>
      </c>
      <c r="I55" s="107" t="s">
        <v>1162</v>
      </c>
      <c r="J55" s="152" t="s">
        <v>1162</v>
      </c>
      <c r="K55" s="86" t="s">
        <v>1162</v>
      </c>
      <c r="L55" s="94" t="s">
        <v>1162</v>
      </c>
      <c r="M55" s="127" t="s">
        <v>1163</v>
      </c>
      <c r="N55" s="86" t="s">
        <v>1162</v>
      </c>
      <c r="O55" s="101" t="s">
        <v>1162</v>
      </c>
      <c r="P55" s="117" t="s">
        <v>1162</v>
      </c>
      <c r="Q55" s="86" t="s">
        <v>1162</v>
      </c>
      <c r="R55" s="107" t="s">
        <v>1162</v>
      </c>
      <c r="S55" s="127" t="s">
        <v>1162</v>
      </c>
      <c r="T55" s="127" t="s">
        <v>1162</v>
      </c>
      <c r="U55" s="127" t="s">
        <v>1162</v>
      </c>
      <c r="V55" s="101" t="s">
        <v>1162</v>
      </c>
      <c r="W55" s="127"/>
      <c r="X55" s="127"/>
    </row>
    <row r="56" spans="2:24" s="25" customFormat="1" ht="15">
      <c r="B56" s="16" t="s">
        <v>234</v>
      </c>
      <c r="C56" s="107" t="s">
        <v>1164</v>
      </c>
      <c r="D56" s="107" t="s">
        <v>1164</v>
      </c>
      <c r="E56" s="107" t="s">
        <v>1164</v>
      </c>
      <c r="F56" s="107" t="s">
        <v>1164</v>
      </c>
      <c r="G56" s="107" t="s">
        <v>1164</v>
      </c>
      <c r="H56" s="107" t="s">
        <v>1164</v>
      </c>
      <c r="I56" s="107" t="s">
        <v>1164</v>
      </c>
      <c r="J56" s="107" t="s">
        <v>1164</v>
      </c>
      <c r="K56" s="107" t="s">
        <v>1164</v>
      </c>
      <c r="L56" s="107" t="s">
        <v>1164</v>
      </c>
      <c r="M56" s="107" t="s">
        <v>1164</v>
      </c>
      <c r="N56" s="107" t="s">
        <v>1164</v>
      </c>
      <c r="O56" s="101" t="s">
        <v>1164</v>
      </c>
      <c r="P56" s="107" t="s">
        <v>1164</v>
      </c>
      <c r="Q56" s="107" t="s">
        <v>1164</v>
      </c>
      <c r="R56" s="107" t="s">
        <v>1164</v>
      </c>
      <c r="S56" s="107" t="s">
        <v>1164</v>
      </c>
      <c r="T56" s="107" t="s">
        <v>1164</v>
      </c>
      <c r="U56" s="127" t="s">
        <v>1164</v>
      </c>
      <c r="V56" s="101" t="s">
        <v>1164</v>
      </c>
      <c r="W56" s="107"/>
      <c r="X56" s="107"/>
    </row>
    <row r="57" spans="2:24" s="25" customFormat="1" ht="15">
      <c r="B57" s="16" t="s">
        <v>480</v>
      </c>
      <c r="C57" s="161" t="s">
        <v>307</v>
      </c>
      <c r="D57" s="147" t="s">
        <v>307</v>
      </c>
      <c r="E57" s="127" t="s">
        <v>349</v>
      </c>
      <c r="F57" s="101" t="s">
        <v>349</v>
      </c>
      <c r="G57" s="101" t="s">
        <v>349</v>
      </c>
      <c r="H57" s="86" t="s">
        <v>349</v>
      </c>
      <c r="I57" s="107" t="s">
        <v>1165</v>
      </c>
      <c r="J57" s="107" t="s">
        <v>349</v>
      </c>
      <c r="K57" s="86" t="s">
        <v>349</v>
      </c>
      <c r="L57" s="94" t="s">
        <v>349</v>
      </c>
      <c r="M57" s="127" t="s">
        <v>349</v>
      </c>
      <c r="N57" s="86" t="s">
        <v>349</v>
      </c>
      <c r="O57" s="101" t="s">
        <v>349</v>
      </c>
      <c r="P57" s="117" t="s">
        <v>349</v>
      </c>
      <c r="Q57" s="86" t="s">
        <v>349</v>
      </c>
      <c r="R57" s="107" t="s">
        <v>349</v>
      </c>
      <c r="S57" s="127" t="s">
        <v>349</v>
      </c>
      <c r="T57" s="127" t="s">
        <v>349</v>
      </c>
      <c r="U57" s="127" t="s">
        <v>349</v>
      </c>
      <c r="V57" s="101" t="s">
        <v>349</v>
      </c>
      <c r="W57" s="127"/>
      <c r="X57" s="127"/>
    </row>
    <row r="58" spans="2:24" s="25" customFormat="1" ht="15">
      <c r="B58" s="16"/>
      <c r="C58" s="160" t="s">
        <v>246</v>
      </c>
      <c r="D58" s="148" t="s">
        <v>246</v>
      </c>
      <c r="E58" s="126" t="s">
        <v>246</v>
      </c>
      <c r="F58" s="101"/>
      <c r="G58" s="100" t="s">
        <v>246</v>
      </c>
      <c r="H58" s="85" t="s">
        <v>246</v>
      </c>
      <c r="I58" s="154" t="s">
        <v>246</v>
      </c>
      <c r="J58" s="107" t="s">
        <v>246</v>
      </c>
      <c r="K58" s="85" t="s">
        <v>246</v>
      </c>
      <c r="L58" s="94" t="s">
        <v>246</v>
      </c>
      <c r="M58" s="126" t="s">
        <v>246</v>
      </c>
      <c r="N58" s="88" t="s">
        <v>246</v>
      </c>
      <c r="O58" s="102" t="s">
        <v>246</v>
      </c>
      <c r="P58" s="117" t="s">
        <v>246</v>
      </c>
      <c r="Q58" s="88" t="s">
        <v>246</v>
      </c>
      <c r="R58" s="102" t="s">
        <v>246</v>
      </c>
      <c r="S58" s="126"/>
      <c r="T58" s="126"/>
      <c r="U58" s="109" t="s">
        <v>246</v>
      </c>
      <c r="V58" s="102" t="s">
        <v>246</v>
      </c>
      <c r="W58" s="126"/>
      <c r="X58" s="126"/>
    </row>
    <row r="59" spans="2:24" s="25" customFormat="1" ht="75.5">
      <c r="B59" s="16" t="s">
        <v>695</v>
      </c>
      <c r="C59" s="117" t="s">
        <v>1166</v>
      </c>
      <c r="D59" s="112" t="s">
        <v>1167</v>
      </c>
      <c r="E59" s="127" t="s">
        <v>1168</v>
      </c>
      <c r="F59" s="107" t="s">
        <v>1169</v>
      </c>
      <c r="G59" s="100" t="s">
        <v>1170</v>
      </c>
      <c r="H59" s="85" t="s">
        <v>484</v>
      </c>
      <c r="I59" s="107" t="s">
        <v>1171</v>
      </c>
      <c r="J59" s="107" t="s">
        <v>1172</v>
      </c>
      <c r="K59" s="85" t="s">
        <v>1173</v>
      </c>
      <c r="L59" s="94" t="s">
        <v>1174</v>
      </c>
      <c r="M59" s="112" t="s">
        <v>1175</v>
      </c>
      <c r="N59" s="86" t="s">
        <v>1176</v>
      </c>
      <c r="O59" s="101" t="s">
        <v>1177</v>
      </c>
      <c r="P59" s="123" t="s">
        <v>1178</v>
      </c>
      <c r="Q59" s="97" t="s">
        <v>1179</v>
      </c>
      <c r="R59" s="108" t="s">
        <v>1179</v>
      </c>
      <c r="S59" s="126" t="s">
        <v>1180</v>
      </c>
      <c r="T59" s="126" t="s">
        <v>1181</v>
      </c>
      <c r="U59" s="127" t="s">
        <v>1182</v>
      </c>
      <c r="V59" s="101" t="s">
        <v>1182</v>
      </c>
      <c r="W59" s="126"/>
      <c r="X59" s="126"/>
    </row>
    <row r="60" spans="2:24" s="25" customFormat="1" ht="45">
      <c r="B60" s="16" t="s">
        <v>494</v>
      </c>
      <c r="C60" s="117" t="s">
        <v>1183</v>
      </c>
      <c r="D60" s="112" t="s">
        <v>495</v>
      </c>
      <c r="E60" s="122" t="s">
        <v>1184</v>
      </c>
      <c r="F60" s="107" t="s">
        <v>498</v>
      </c>
      <c r="G60" s="158" t="s">
        <v>1185</v>
      </c>
      <c r="H60" s="93" t="s">
        <v>1186</v>
      </c>
      <c r="I60" s="107" t="s">
        <v>1187</v>
      </c>
      <c r="J60" s="107" t="s">
        <v>1188</v>
      </c>
      <c r="K60" s="85" t="s">
        <v>1189</v>
      </c>
      <c r="L60" s="94" t="s">
        <v>1190</v>
      </c>
      <c r="M60" s="126" t="s">
        <v>1191</v>
      </c>
      <c r="N60" s="86" t="s">
        <v>1192</v>
      </c>
      <c r="O60" s="101" t="s">
        <v>1193</v>
      </c>
      <c r="P60" s="123" t="s">
        <v>1194</v>
      </c>
      <c r="Q60" s="86" t="s">
        <v>1195</v>
      </c>
      <c r="R60" s="108" t="s">
        <v>1196</v>
      </c>
      <c r="S60" s="126" t="s">
        <v>508</v>
      </c>
      <c r="T60" s="126" t="s">
        <v>508</v>
      </c>
      <c r="U60" s="101" t="s">
        <v>1197</v>
      </c>
      <c r="V60" s="101" t="s">
        <v>1197</v>
      </c>
      <c r="W60" s="126"/>
      <c r="X60" s="126"/>
    </row>
    <row r="61" spans="2:24" s="25" customFormat="1" ht="15">
      <c r="B61" s="16" t="s">
        <v>223</v>
      </c>
      <c r="C61" s="117" t="s">
        <v>1198</v>
      </c>
      <c r="D61" s="123" t="s">
        <v>509</v>
      </c>
      <c r="E61" s="108" t="s">
        <v>1199</v>
      </c>
      <c r="F61" s="100" t="s">
        <v>512</v>
      </c>
      <c r="G61" s="100" t="s">
        <v>1200</v>
      </c>
      <c r="H61" s="85" t="s">
        <v>511</v>
      </c>
      <c r="I61" s="100" t="s">
        <v>1201</v>
      </c>
      <c r="J61" s="152" t="s">
        <v>1202</v>
      </c>
      <c r="K61" s="85" t="s">
        <v>1203</v>
      </c>
      <c r="L61" s="94" t="s">
        <v>1204</v>
      </c>
      <c r="M61" s="126" t="s">
        <v>1205</v>
      </c>
      <c r="N61" s="86" t="s">
        <v>1201</v>
      </c>
      <c r="O61" s="101" t="s">
        <v>1201</v>
      </c>
      <c r="P61" s="98" t="s">
        <v>1206</v>
      </c>
      <c r="Q61" s="86" t="s">
        <v>513</v>
      </c>
      <c r="R61" s="108" t="s">
        <v>512</v>
      </c>
      <c r="S61" s="126" t="s">
        <v>519</v>
      </c>
      <c r="T61" s="126" t="s">
        <v>519</v>
      </c>
      <c r="U61" s="101" t="s">
        <v>519</v>
      </c>
      <c r="V61" s="101" t="s">
        <v>519</v>
      </c>
      <c r="W61" s="126"/>
      <c r="X61" s="126"/>
    </row>
    <row r="62" spans="2:24" s="25" customFormat="1" ht="15">
      <c r="B62" s="16"/>
      <c r="C62" s="7"/>
      <c r="D62" s="123" t="s">
        <v>246</v>
      </c>
      <c r="E62" s="126" t="s">
        <v>246</v>
      </c>
      <c r="F62" s="100" t="s">
        <v>246</v>
      </c>
      <c r="G62" s="100" t="s">
        <v>246</v>
      </c>
      <c r="H62" s="7"/>
      <c r="I62" s="7"/>
      <c r="J62" s="100" t="s">
        <v>246</v>
      </c>
      <c r="K62" s="85" t="s">
        <v>246</v>
      </c>
      <c r="L62" s="94" t="s">
        <v>246</v>
      </c>
      <c r="M62" s="126" t="s">
        <v>246</v>
      </c>
      <c r="N62" s="86" t="s">
        <v>246</v>
      </c>
      <c r="O62" s="100" t="s">
        <v>246</v>
      </c>
      <c r="P62" s="117" t="s">
        <v>246</v>
      </c>
      <c r="Q62" s="85" t="s">
        <v>246</v>
      </c>
      <c r="R62" s="108" t="s">
        <v>246</v>
      </c>
      <c r="S62" s="126"/>
      <c r="T62" s="126"/>
      <c r="U62" s="126"/>
      <c r="V62" s="100" t="s">
        <v>246</v>
      </c>
      <c r="W62" s="126"/>
      <c r="X62" s="126"/>
    </row>
    <row r="63" spans="2:24" s="25" customFormat="1" ht="15">
      <c r="B63" s="5"/>
      <c r="C63" s="7"/>
      <c r="D63" s="123" t="s">
        <v>246</v>
      </c>
      <c r="E63" s="126" t="s">
        <v>246</v>
      </c>
      <c r="F63" s="100" t="s">
        <v>246</v>
      </c>
      <c r="G63" s="100" t="s">
        <v>246</v>
      </c>
      <c r="H63" s="7"/>
      <c r="I63" s="7"/>
      <c r="J63" s="100" t="s">
        <v>246</v>
      </c>
      <c r="K63" s="85"/>
      <c r="L63" s="94"/>
      <c r="M63" s="126" t="s">
        <v>246</v>
      </c>
      <c r="N63" s="85"/>
      <c r="O63" s="100" t="s">
        <v>246</v>
      </c>
      <c r="P63" s="124"/>
      <c r="Q63" s="85"/>
      <c r="R63" s="108"/>
      <c r="S63" s="126"/>
      <c r="T63" s="126"/>
      <c r="U63" s="126"/>
      <c r="V63" s="100" t="s">
        <v>246</v>
      </c>
      <c r="W63" s="126"/>
      <c r="X63" s="126"/>
    </row>
    <row r="64" spans="2:24" s="25" customFormat="1" ht="15">
      <c r="B64" s="16"/>
      <c r="C64" s="6"/>
      <c r="D64" s="123" t="s">
        <v>246</v>
      </c>
      <c r="E64" s="126" t="s">
        <v>246</v>
      </c>
      <c r="F64" s="100" t="s">
        <v>246</v>
      </c>
      <c r="G64" s="100" t="s">
        <v>246</v>
      </c>
      <c r="H64" s="7"/>
      <c r="I64" s="7"/>
      <c r="J64" s="100" t="s">
        <v>246</v>
      </c>
      <c r="K64" s="91" t="s">
        <v>82</v>
      </c>
      <c r="L64" s="113" t="s">
        <v>82</v>
      </c>
      <c r="M64" s="128" t="s">
        <v>82</v>
      </c>
      <c r="N64" s="85" t="s">
        <v>246</v>
      </c>
      <c r="O64" s="100" t="s">
        <v>246</v>
      </c>
      <c r="P64" s="117" t="s">
        <v>246</v>
      </c>
      <c r="Q64" s="85" t="s">
        <v>246</v>
      </c>
      <c r="R64" s="100" t="s">
        <v>246</v>
      </c>
      <c r="S64" s="126"/>
      <c r="T64" s="126"/>
      <c r="U64" s="126"/>
      <c r="V64" s="100" t="s">
        <v>246</v>
      </c>
      <c r="W64" s="126"/>
      <c r="X64" s="126"/>
    </row>
    <row r="65" spans="1:25" s="25" customFormat="1" ht="15">
      <c r="B65" s="52"/>
      <c r="C65" s="52"/>
      <c r="D65" s="123" t="s">
        <v>246</v>
      </c>
      <c r="E65" s="126" t="s">
        <v>246</v>
      </c>
      <c r="F65" s="103" t="s">
        <v>246</v>
      </c>
      <c r="G65" s="103" t="s">
        <v>246</v>
      </c>
      <c r="H65" s="8"/>
      <c r="I65" s="8"/>
      <c r="J65" s="100" t="s">
        <v>246</v>
      </c>
      <c r="K65" s="91" t="s">
        <v>246</v>
      </c>
      <c r="L65" s="113" t="s">
        <v>246</v>
      </c>
      <c r="M65" s="128" t="s">
        <v>246</v>
      </c>
      <c r="N65" s="91" t="s">
        <v>246</v>
      </c>
      <c r="O65" s="103" t="s">
        <v>246</v>
      </c>
      <c r="P65" s="119" t="s">
        <v>246</v>
      </c>
      <c r="Q65" s="91" t="s">
        <v>246</v>
      </c>
      <c r="R65" s="103" t="s">
        <v>246</v>
      </c>
      <c r="S65" s="128"/>
      <c r="T65" s="128"/>
      <c r="U65" s="128"/>
      <c r="V65" s="103" t="s">
        <v>246</v>
      </c>
      <c r="W65" s="128"/>
      <c r="X65" s="128"/>
    </row>
    <row r="66" spans="1:25" s="25" customFormat="1" ht="15">
      <c r="B66" s="84"/>
      <c r="C66" s="53"/>
      <c r="D66" s="149" t="s">
        <v>246</v>
      </c>
      <c r="E66" s="129" t="s">
        <v>246</v>
      </c>
      <c r="F66" s="104" t="s">
        <v>246</v>
      </c>
      <c r="G66" s="104" t="s">
        <v>246</v>
      </c>
      <c r="H66" s="53"/>
      <c r="I66" s="53"/>
      <c r="J66" s="104" t="s">
        <v>246</v>
      </c>
      <c r="K66" s="92" t="s">
        <v>246</v>
      </c>
      <c r="L66" s="114" t="s">
        <v>246</v>
      </c>
      <c r="M66" s="129" t="s">
        <v>246</v>
      </c>
      <c r="N66" s="92" t="s">
        <v>246</v>
      </c>
      <c r="O66" s="104" t="s">
        <v>246</v>
      </c>
      <c r="P66" s="120" t="s">
        <v>246</v>
      </c>
      <c r="Q66" s="92" t="s">
        <v>246</v>
      </c>
      <c r="R66" s="104" t="s">
        <v>246</v>
      </c>
      <c r="S66" s="129"/>
      <c r="T66" s="129"/>
      <c r="U66" s="129"/>
      <c r="V66" s="104" t="s">
        <v>246</v>
      </c>
      <c r="W66" s="129"/>
      <c r="X66" s="129"/>
    </row>
    <row r="67" spans="1:25" s="24" customFormat="1" ht="15">
      <c r="A67" s="25"/>
      <c r="B67" s="52" t="s">
        <v>1207</v>
      </c>
      <c r="C67" s="58"/>
      <c r="D67" s="150" t="s">
        <v>246</v>
      </c>
      <c r="E67" s="130" t="s">
        <v>82</v>
      </c>
      <c r="F67" s="153"/>
      <c r="G67" s="103" t="s">
        <v>246</v>
      </c>
      <c r="H67" s="58"/>
      <c r="I67" s="58"/>
      <c r="J67" s="105">
        <v>45799</v>
      </c>
      <c r="K67" s="91" t="s">
        <v>246</v>
      </c>
      <c r="L67" s="113" t="s">
        <v>246</v>
      </c>
      <c r="M67" s="128" t="s">
        <v>246</v>
      </c>
      <c r="N67" s="91" t="s">
        <v>1208</v>
      </c>
      <c r="O67" s="103" t="s">
        <v>1209</v>
      </c>
      <c r="P67" s="119" t="s">
        <v>82</v>
      </c>
      <c r="Q67" s="91" t="s">
        <v>82</v>
      </c>
      <c r="R67" s="103" t="s">
        <v>246</v>
      </c>
      <c r="S67" s="128" t="s">
        <v>82</v>
      </c>
      <c r="T67" s="128" t="s">
        <v>82</v>
      </c>
      <c r="U67" s="128"/>
      <c r="V67" s="103" t="s">
        <v>246</v>
      </c>
      <c r="W67" s="128"/>
      <c r="X67" s="128"/>
      <c r="Y67" s="25"/>
    </row>
    <row r="68" spans="1:25" s="24" customFormat="1" ht="30">
      <c r="A68" s="25"/>
      <c r="B68" s="52" t="s">
        <v>526</v>
      </c>
      <c r="C68" s="58" t="s">
        <v>1210</v>
      </c>
      <c r="D68" s="151">
        <v>45741</v>
      </c>
      <c r="E68" s="130">
        <v>45806</v>
      </c>
      <c r="F68" s="234">
        <v>45771</v>
      </c>
      <c r="G68" s="105">
        <v>45742</v>
      </c>
      <c r="H68" s="58">
        <v>45770</v>
      </c>
      <c r="I68" s="58">
        <v>45825</v>
      </c>
      <c r="J68" s="105">
        <v>45814</v>
      </c>
      <c r="K68" s="96">
        <v>45811</v>
      </c>
      <c r="L68" s="115">
        <v>45807</v>
      </c>
      <c r="M68" s="130">
        <v>45799</v>
      </c>
      <c r="N68" s="93" t="s">
        <v>1211</v>
      </c>
      <c r="O68" s="105">
        <v>45811</v>
      </c>
      <c r="P68" s="121">
        <v>45881</v>
      </c>
      <c r="Q68" s="96">
        <v>45715</v>
      </c>
      <c r="R68" s="105">
        <v>45721</v>
      </c>
      <c r="S68" s="130">
        <v>45623</v>
      </c>
      <c r="T68" s="128" t="s">
        <v>1212</v>
      </c>
      <c r="U68" s="130">
        <v>45856</v>
      </c>
      <c r="V68" s="105">
        <v>45796</v>
      </c>
      <c r="W68" s="128"/>
      <c r="X68" s="128"/>
      <c r="Y68" s="25"/>
    </row>
    <row r="69" spans="1:25" s="40" customFormat="1" ht="15">
      <c r="A69" s="59"/>
      <c r="B69" s="52" t="s">
        <v>821</v>
      </c>
      <c r="C69" s="59"/>
      <c r="D69" s="150" t="s">
        <v>82</v>
      </c>
      <c r="E69" s="128" t="s">
        <v>246</v>
      </c>
      <c r="F69" s="103" t="s">
        <v>246</v>
      </c>
      <c r="G69" s="103" t="s">
        <v>82</v>
      </c>
      <c r="H69" s="59"/>
      <c r="I69" s="59"/>
      <c r="J69" s="103" t="s">
        <v>82</v>
      </c>
      <c r="K69" s="91" t="s">
        <v>246</v>
      </c>
      <c r="L69" s="113" t="s">
        <v>246</v>
      </c>
      <c r="M69" s="128" t="s">
        <v>246</v>
      </c>
      <c r="N69" s="91" t="s">
        <v>246</v>
      </c>
      <c r="O69" s="103" t="s">
        <v>246</v>
      </c>
      <c r="P69" s="119" t="s">
        <v>246</v>
      </c>
      <c r="Q69" s="91" t="s">
        <v>246</v>
      </c>
      <c r="R69" s="103" t="s">
        <v>246</v>
      </c>
      <c r="S69" s="128"/>
      <c r="T69" s="128" t="s">
        <v>82</v>
      </c>
      <c r="U69" s="128" t="s">
        <v>82</v>
      </c>
      <c r="V69" s="103" t="s">
        <v>82</v>
      </c>
      <c r="W69" s="128" t="s">
        <v>82</v>
      </c>
      <c r="X69" s="128" t="s">
        <v>82</v>
      </c>
      <c r="Y69" s="59"/>
    </row>
    <row r="70" spans="1:25" s="40" customFormat="1" ht="18" customHeight="1">
      <c r="A70" s="59"/>
      <c r="B70" s="52" t="s">
        <v>710</v>
      </c>
      <c r="C70" s="59" t="s">
        <v>1213</v>
      </c>
      <c r="D70" s="150" t="s">
        <v>18</v>
      </c>
      <c r="E70" s="128" t="s">
        <v>1214</v>
      </c>
      <c r="F70" s="103" t="s">
        <v>1215</v>
      </c>
      <c r="G70" s="103" t="s">
        <v>1216</v>
      </c>
      <c r="H70" s="59" t="s">
        <v>49</v>
      </c>
      <c r="I70" s="59" t="s">
        <v>1215</v>
      </c>
      <c r="J70" s="103" t="s">
        <v>1217</v>
      </c>
      <c r="K70" s="91" t="s">
        <v>1218</v>
      </c>
      <c r="L70" s="113" t="s">
        <v>1218</v>
      </c>
      <c r="M70" s="128" t="s">
        <v>41</v>
      </c>
      <c r="N70" s="91" t="s">
        <v>1219</v>
      </c>
      <c r="O70" s="106" t="s">
        <v>1220</v>
      </c>
      <c r="P70" s="119" t="s">
        <v>1214</v>
      </c>
      <c r="Q70" s="91" t="s">
        <v>1218</v>
      </c>
      <c r="R70" s="106" t="s">
        <v>56</v>
      </c>
      <c r="S70" s="128" t="s">
        <v>1221</v>
      </c>
      <c r="T70" s="128" t="s">
        <v>18</v>
      </c>
      <c r="U70" s="128" t="s">
        <v>49</v>
      </c>
      <c r="V70" s="103" t="s">
        <v>89</v>
      </c>
      <c r="W70" s="128" t="s">
        <v>41</v>
      </c>
      <c r="X70" s="128" t="s">
        <v>41</v>
      </c>
      <c r="Y70" s="59"/>
    </row>
    <row r="71" spans="1:25" ht="15">
      <c r="E71" s="36"/>
      <c r="F71" s="105" t="s">
        <v>82</v>
      </c>
      <c r="Q71" s="59"/>
    </row>
    <row r="72" spans="1:25" s="40" customFormat="1" ht="15">
      <c r="A72" s="59"/>
      <c r="B72" s="59"/>
      <c r="C72" s="59"/>
      <c r="D72" s="59"/>
      <c r="E72" s="59"/>
      <c r="F72" s="103" t="s">
        <v>246</v>
      </c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36"/>
      <c r="R72" s="59"/>
      <c r="S72" s="59"/>
      <c r="T72" s="59"/>
      <c r="U72" s="59"/>
      <c r="V72" s="59"/>
      <c r="W72" s="59"/>
      <c r="X72" s="59"/>
      <c r="Y72" s="59"/>
    </row>
    <row r="73" spans="1:25" s="36" customFormat="1" ht="15">
      <c r="F73" s="103" t="s">
        <v>82</v>
      </c>
      <c r="Q73" s="4"/>
    </row>
    <row r="74" spans="1:25" ht="15">
      <c r="F74" s="36"/>
    </row>
    <row r="75" spans="1:25" ht="15">
      <c r="F75" s="59"/>
    </row>
    <row r="76" spans="1:25" ht="15">
      <c r="F76" s="36"/>
    </row>
  </sheetData>
  <sheetProtection formatCells="0" formatColumns="0" formatRows="0" insertColumns="0" insertRows="0" insertHyperlinks="0" deleteColumns="0" deleteRows="0" pivotTables="0"/>
  <protectedRanges>
    <protectedRange algorithmName="SHA-512" hashValue="FFDl6+DQqly+UHQ4pISE5WlYWH27s79H8BUEJZgNEUSzbdeI8WUxAp2PG5D2CeD1oSy04vSZTMAEGPG+DxtI/A==" saltValue="X1CEYNaOApMatZTY9Hie9A==" spinCount="100000" sqref="M46 M48 M50:M51 M37 M35 M41:M43 K63:L64 M31:M32 M54:M55 K29:L29 K31:L31 K43:L43 K40:L40 R62:R64 M16:M17 E5:F9 B5:D7 Q61:Q63 K9:M9 K5:R8 M59:M61 M62:P64 K12:M12 C8:D9 E12:E25 E27:E55 I41:J55 K53:M53 O53 Q53:R53 C57:E64 F57:F67 I57:J64 M57 C56:F56 I5:J9 I10:M10 I56:X56 G5:H10 C10:F10 F12:F55 U18:V18 C11:W11 C12:D55 G12:H64 I12:J39 K23:L23 M19:M29 Q23:R23" name="Range1" securityDescriptor="O:WDG:WDD:(A;;CC;;;S-1-5-21-2496373424-2134928991-926383051-63041)"/>
    <protectedRange algorithmName="SHA-512" hashValue="FFDl6+DQqly+UHQ4pISE5WlYWH27s79H8BUEJZgNEUSzbdeI8WUxAp2PG5D2CeD1oSy04vSZTMAEGPG+DxtI/A==" saltValue="X1CEYNaOApMatZTY9Hie9A==" spinCount="100000" sqref="K30:M30" name="Range1_3" securityDescriptor="O:WDG:WDD:(A;;CC;;;S-1-5-21-2496373424-2134928991-926383051-63041)"/>
    <protectedRange algorithmName="SHA-512" hashValue="FFDl6+DQqly+UHQ4pISE5WlYWH27s79H8BUEJZgNEUSzbdeI8WUxAp2PG5D2CeD1oSy04vSZTMAEGPG+DxtI/A==" saltValue="X1CEYNaOApMatZTY9Hie9A==" spinCount="100000" sqref="K44:L52 M33 M52 M44:M45 M49 M36 M47 M38:M40 K24:L28 K32:L33 M15 K41:L42 I40:J40 M58 K35:L39 K54:L55 K57:L62 K14:L22 M18" name="Range1_1_3" securityDescriptor="O:WDG:WDD:(A;;CC;;;S-1-5-21-2496373424-2134928991-926383051-63041)"/>
    <protectedRange algorithmName="SHA-512" hashValue="FFDl6+DQqly+UHQ4pISE5WlYWH27s79H8BUEJZgNEUSzbdeI8WUxAp2PG5D2CeD1oSy04vSZTMAEGPG+DxtI/A==" saltValue="X1CEYNaOApMatZTY9Hie9A==" spinCount="100000" sqref="B8:B64" name="Range1_4" securityDescriptor="O:WDG:WDD:(A;;CC;;;S-1-5-21-2496373424-2134928991-926383051-63041)"/>
    <protectedRange algorithmName="SHA-512" hashValue="FFDl6+DQqly+UHQ4pISE5WlYWH27s79H8BUEJZgNEUSzbdeI8WUxAp2PG5D2CeD1oSy04vSZTMAEGPG+DxtI/A==" saltValue="X1CEYNaOApMatZTY9Hie9A==" spinCount="100000" sqref="O47 P15 P43 Q59:Q60 P41:R42 P35:R39 P44:R52 P54:R55 P60:P61 R60:R61 P9:R10 P24:R33 P12:R12 Q57 P57:P58 R57:R58 P17:R18" name="Range1_1" securityDescriptor="O:WDG:WDD:(A;;CC;;;S-1-5-21-2496373424-2134928991-926383051-63041)"/>
    <protectedRange algorithmName="SHA-512" hashValue="FFDl6+DQqly+UHQ4pISE5WlYWH27s79H8BUEJZgNEUSzbdeI8WUxAp2PG5D2CeD1oSy04vSZTMAEGPG+DxtI/A==" saltValue="X1CEYNaOApMatZTY9Hie9A==" spinCount="100000" sqref="P53 P40:R40 Q58 O59:P59 R59 P34:R34 K34:M34" name="Range1_1_3_1" securityDescriptor="O:WDG:WDD:(A;;CC;;;S-1-5-21-2496373424-2134928991-926383051-63041)"/>
    <protectedRange algorithmName="SHA-512" hashValue="FFDl6+DQqly+UHQ4pISE5WlYWH27s79H8BUEJZgNEUSzbdeI8WUxAp2PG5D2CeD1oSy04vSZTMAEGPG+DxtI/A==" saltValue="X1CEYNaOApMatZTY9Hie9A==" spinCount="100000" sqref="N60:O61 N41:O46 N35:O39 N48:O52 N47 N17:O33 N57:O58 Q43:R43 N9:O10 N54:O55 V14 X14 T13:T14 N12:O15 Q13:R15 M13:M14 K13:L13 S13 P13:P14 U13:V13 P23 P19:R22" name="Range1_5" securityDescriptor="O:WDG:WDD:(A;;CC;;;S-1-5-21-2496373424-2134928991-926383051-63041)"/>
    <protectedRange algorithmName="SHA-512" hashValue="FFDl6+DQqly+UHQ4pISE5WlYWH27s79H8BUEJZgNEUSzbdeI8WUxAp2PG5D2CeD1oSy04vSZTMAEGPG+DxtI/A==" saltValue="X1CEYNaOApMatZTY9Hie9A==" spinCount="100000" sqref="N16:R16" name="Range1_1_2_2" securityDescriptor="O:WDG:WDD:(A;;CC;;;S-1-5-21-2496373424-2134928991-926383051-63041)"/>
    <protectedRange algorithmName="SHA-512" hashValue="FFDl6+DQqly+UHQ4pISE5WlYWH27s79H8BUEJZgNEUSzbdeI8WUxAp2PG5D2CeD1oSy04vSZTMAEGPG+DxtI/A==" saltValue="X1CEYNaOApMatZTY9Hie9A==" spinCount="100000" sqref="N34:O34 N53 N59 N40:O40" name="Range1_1_3_2" securityDescriptor="O:WDG:WDD:(A;;CC;;;S-1-5-21-2496373424-2134928991-926383051-63041)"/>
  </protectedRanges>
  <phoneticPr fontId="10" type="noConversion"/>
  <pageMargins left="0.7" right="0.7" top="0.75" bottom="0.75" header="0.3" footer="0.3"/>
  <pageSetup paperSize="9" orientation="portrait" verticalDpi="4294967293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26AB8-59E4-47BC-BEA5-5B0893381A0B}">
  <dimension ref="B1:W58"/>
  <sheetViews>
    <sheetView zoomScaleNormal="100" workbookViewId="0">
      <pane xSplit="2" ySplit="7" topLeftCell="K10" activePane="bottomRight" state="frozen"/>
      <selection pane="topRight" activeCell="C1" sqref="C1"/>
      <selection pane="bottomLeft" activeCell="A8" sqref="A8"/>
      <selection pane="bottomRight" activeCell="F25" sqref="F25"/>
    </sheetView>
  </sheetViews>
  <sheetFormatPr defaultColWidth="9" defaultRowHeight="15" customHeight="1"/>
  <cols>
    <col min="1" max="1" width="3.5" style="1" customWidth="1"/>
    <col min="2" max="2" width="29.33203125" style="1" customWidth="1"/>
    <col min="3" max="3" width="36.83203125" style="36" customWidth="1"/>
    <col min="4" max="5" width="36.83203125" style="4" customWidth="1"/>
    <col min="6" max="6" width="40.33203125" style="4" customWidth="1"/>
    <col min="7" max="7" width="36.83203125" style="4" customWidth="1"/>
    <col min="8" max="8" width="44.83203125" style="4" customWidth="1"/>
    <col min="9" max="9" width="37.75" style="4" customWidth="1"/>
    <col min="10" max="10" width="36.83203125" style="4" customWidth="1"/>
    <col min="11" max="11" width="36.83203125" style="1" customWidth="1"/>
    <col min="12" max="12" width="41.5" style="1" customWidth="1"/>
    <col min="13" max="13" width="42.25" style="1" customWidth="1"/>
    <col min="14" max="14" width="38.25" style="1" customWidth="1"/>
    <col min="15" max="15" width="38.5" style="1" customWidth="1"/>
    <col min="16" max="16" width="36.83203125" style="1" customWidth="1"/>
    <col min="17" max="17" width="65" style="1" customWidth="1"/>
    <col min="18" max="19" width="36.83203125" style="1" customWidth="1"/>
    <col min="20" max="20" width="44.08203125" style="1" customWidth="1"/>
    <col min="21" max="21" width="44.25" style="1" customWidth="1"/>
    <col min="22" max="22" width="42" style="1" customWidth="1"/>
    <col min="23" max="23" width="39" style="1" customWidth="1"/>
    <col min="24" max="16384" width="9" style="1"/>
  </cols>
  <sheetData>
    <row r="1" spans="2:23" ht="15.5">
      <c r="F1" t="s">
        <v>1222</v>
      </c>
      <c r="K1" s="4"/>
      <c r="L1" s="4"/>
      <c r="M1" s="4"/>
      <c r="N1" s="238"/>
      <c r="O1" s="238"/>
      <c r="P1" s="4"/>
      <c r="Q1" s="4"/>
      <c r="R1" s="4"/>
      <c r="S1" s="4"/>
      <c r="T1" s="4"/>
      <c r="U1" s="4"/>
      <c r="V1" s="4"/>
      <c r="W1" s="4"/>
    </row>
    <row r="2" spans="2:23" ht="27">
      <c r="B2" s="3" t="s">
        <v>580</v>
      </c>
      <c r="K2" s="4"/>
      <c r="L2" s="4"/>
      <c r="M2" s="4"/>
      <c r="N2" s="238"/>
      <c r="O2" s="238"/>
      <c r="P2" s="4"/>
      <c r="Q2" s="4"/>
      <c r="R2" s="4"/>
      <c r="S2" s="4"/>
      <c r="T2" s="4"/>
      <c r="U2" s="4"/>
      <c r="V2" s="4"/>
      <c r="W2" s="4"/>
    </row>
    <row r="3" spans="2:23">
      <c r="K3" s="4"/>
      <c r="L3" s="4"/>
      <c r="M3" s="4"/>
      <c r="N3" s="238"/>
      <c r="O3" s="238"/>
      <c r="P3" s="4"/>
      <c r="Q3" s="4"/>
      <c r="R3" s="4"/>
      <c r="S3" s="4"/>
      <c r="T3" s="4"/>
      <c r="U3" s="4"/>
      <c r="V3" s="4"/>
      <c r="W3" s="4"/>
    </row>
    <row r="4" spans="2:23">
      <c r="K4" s="4"/>
      <c r="L4" s="4"/>
      <c r="M4" s="4"/>
      <c r="N4" s="238"/>
      <c r="O4" s="238"/>
      <c r="P4" s="4"/>
      <c r="Q4" s="4"/>
      <c r="R4" s="4"/>
      <c r="S4" s="4"/>
      <c r="T4" s="4"/>
      <c r="U4" s="289" t="s">
        <v>1223</v>
      </c>
      <c r="V4" s="4"/>
      <c r="W4" s="289" t="s">
        <v>1224</v>
      </c>
    </row>
    <row r="5" spans="2:23" ht="30.75" customHeight="1">
      <c r="B5" s="1" t="s">
        <v>581</v>
      </c>
      <c r="C5" s="14" t="s">
        <v>1225</v>
      </c>
      <c r="D5" s="14" t="s">
        <v>1226</v>
      </c>
      <c r="E5" s="14" t="s">
        <v>1227</v>
      </c>
      <c r="F5" s="14" t="s">
        <v>1228</v>
      </c>
      <c r="G5" s="14" t="s">
        <v>1229</v>
      </c>
      <c r="H5" s="14" t="s">
        <v>1228</v>
      </c>
      <c r="I5" s="14" t="s">
        <v>1229</v>
      </c>
      <c r="J5" s="14" t="s">
        <v>1227</v>
      </c>
      <c r="K5" s="14" t="s">
        <v>1230</v>
      </c>
      <c r="L5" s="14" t="s">
        <v>1231</v>
      </c>
      <c r="M5" s="14" t="s">
        <v>1232</v>
      </c>
      <c r="N5" s="239" t="s">
        <v>1233</v>
      </c>
      <c r="O5" s="239" t="s">
        <v>1234</v>
      </c>
      <c r="P5" s="14" t="s">
        <v>1235</v>
      </c>
      <c r="Q5" s="14" t="s">
        <v>1236</v>
      </c>
      <c r="R5" s="14" t="s">
        <v>1237</v>
      </c>
      <c r="S5" s="14" t="s">
        <v>1238</v>
      </c>
      <c r="T5" s="14" t="s">
        <v>1235</v>
      </c>
      <c r="U5" s="14" t="s">
        <v>1236</v>
      </c>
      <c r="V5" s="14" t="s">
        <v>1237</v>
      </c>
      <c r="W5" s="14" t="s">
        <v>1238</v>
      </c>
    </row>
    <row r="6" spans="2:23" ht="30.75" customHeight="1">
      <c r="B6" s="1" t="s">
        <v>589</v>
      </c>
      <c r="C6" s="15" t="s">
        <v>1239</v>
      </c>
      <c r="D6" s="15" t="s">
        <v>1240</v>
      </c>
      <c r="E6" s="15" t="s">
        <v>1241</v>
      </c>
      <c r="F6" s="15" t="s">
        <v>1242</v>
      </c>
      <c r="G6" s="15" t="s">
        <v>1243</v>
      </c>
      <c r="H6" s="15" t="s">
        <v>590</v>
      </c>
      <c r="I6" s="15" t="s">
        <v>1244</v>
      </c>
      <c r="J6" s="15" t="s">
        <v>1245</v>
      </c>
      <c r="K6" s="15" t="s">
        <v>1246</v>
      </c>
      <c r="L6" s="15" t="s">
        <v>1247</v>
      </c>
      <c r="M6" s="15" t="s">
        <v>1248</v>
      </c>
      <c r="N6" s="240" t="s">
        <v>1249</v>
      </c>
      <c r="O6" s="240" t="s">
        <v>1250</v>
      </c>
      <c r="P6" s="15" t="s">
        <v>1251</v>
      </c>
      <c r="Q6" s="15" t="s">
        <v>1251</v>
      </c>
      <c r="R6" s="15" t="s">
        <v>1252</v>
      </c>
      <c r="S6" s="15" t="s">
        <v>1252</v>
      </c>
      <c r="T6" s="15" t="s">
        <v>1253</v>
      </c>
      <c r="U6" s="15" t="s">
        <v>1254</v>
      </c>
      <c r="V6" s="15" t="s">
        <v>1255</v>
      </c>
      <c r="W6" s="15" t="s">
        <v>1256</v>
      </c>
    </row>
    <row r="7" spans="2:23" ht="30.75" customHeight="1">
      <c r="B7" s="1" t="s">
        <v>599</v>
      </c>
      <c r="C7" s="15" t="s">
        <v>1257</v>
      </c>
      <c r="D7" s="15" t="s">
        <v>600</v>
      </c>
      <c r="E7" s="15" t="s">
        <v>1258</v>
      </c>
      <c r="F7" s="15" t="s">
        <v>600</v>
      </c>
      <c r="G7" s="15" t="s">
        <v>600</v>
      </c>
      <c r="H7" s="15" t="s">
        <v>600</v>
      </c>
      <c r="I7" s="15" t="s">
        <v>600</v>
      </c>
      <c r="J7" s="15" t="s">
        <v>601</v>
      </c>
      <c r="K7" s="15" t="s">
        <v>1259</v>
      </c>
      <c r="L7" s="15" t="s">
        <v>1260</v>
      </c>
      <c r="M7" s="15" t="s">
        <v>1260</v>
      </c>
      <c r="N7" s="15" t="s">
        <v>601</v>
      </c>
      <c r="O7" s="15" t="s">
        <v>601</v>
      </c>
      <c r="P7" s="15" t="s">
        <v>1261</v>
      </c>
      <c r="Q7" s="15" t="s">
        <v>1261</v>
      </c>
      <c r="R7" s="15" t="s">
        <v>1262</v>
      </c>
      <c r="S7" s="15" t="s">
        <v>1262</v>
      </c>
      <c r="T7" s="15" t="s">
        <v>603</v>
      </c>
      <c r="U7" s="15" t="s">
        <v>603</v>
      </c>
      <c r="V7" s="15" t="s">
        <v>604</v>
      </c>
      <c r="W7" s="15" t="s">
        <v>604</v>
      </c>
    </row>
    <row r="8" spans="2:23">
      <c r="B8" s="5"/>
      <c r="C8" s="132" t="s">
        <v>246</v>
      </c>
      <c r="D8" s="101"/>
      <c r="E8" s="101"/>
      <c r="F8" s="101"/>
      <c r="G8" s="101"/>
      <c r="H8" s="101"/>
      <c r="I8" s="101"/>
      <c r="J8" s="101"/>
      <c r="K8" s="7"/>
      <c r="L8" s="244"/>
      <c r="M8" s="56"/>
      <c r="N8" s="244"/>
      <c r="O8" s="244"/>
      <c r="P8" s="100"/>
      <c r="Q8" s="100"/>
      <c r="R8" s="100"/>
      <c r="S8" s="100"/>
      <c r="T8" s="100"/>
      <c r="U8" s="100"/>
      <c r="V8" s="100"/>
      <c r="W8" s="100"/>
    </row>
    <row r="9" spans="2:23" ht="58.5" customHeight="1">
      <c r="B9" s="5" t="s">
        <v>269</v>
      </c>
      <c r="C9" s="122" t="s">
        <v>606</v>
      </c>
      <c r="D9" s="122" t="s">
        <v>1263</v>
      </c>
      <c r="E9" s="101" t="s">
        <v>1264</v>
      </c>
      <c r="F9" s="87" t="s">
        <v>606</v>
      </c>
      <c r="G9" s="87" t="s">
        <v>1263</v>
      </c>
      <c r="H9" s="87" t="s">
        <v>606</v>
      </c>
      <c r="I9" s="87" t="s">
        <v>1263</v>
      </c>
      <c r="J9" s="101"/>
      <c r="K9" s="7" t="s">
        <v>1265</v>
      </c>
      <c r="L9" s="282" t="s">
        <v>1266</v>
      </c>
      <c r="M9" s="282" t="s">
        <v>1267</v>
      </c>
      <c r="N9" s="283"/>
      <c r="O9" s="283"/>
      <c r="P9" s="100" t="s">
        <v>82</v>
      </c>
      <c r="Q9" s="100" t="s">
        <v>1268</v>
      </c>
      <c r="R9" s="100" t="s">
        <v>82</v>
      </c>
      <c r="S9" s="100" t="s">
        <v>1268</v>
      </c>
      <c r="T9" s="100" t="s">
        <v>82</v>
      </c>
      <c r="U9" s="100" t="s">
        <v>1268</v>
      </c>
      <c r="V9" s="100" t="s">
        <v>82</v>
      </c>
      <c r="W9" s="100" t="s">
        <v>1268</v>
      </c>
    </row>
    <row r="10" spans="2:23">
      <c r="B10" s="5"/>
      <c r="C10" s="132" t="s">
        <v>246</v>
      </c>
      <c r="D10" s="101"/>
      <c r="E10" s="101"/>
      <c r="F10" s="246" t="s">
        <v>246</v>
      </c>
      <c r="G10" s="86" t="s">
        <v>246</v>
      </c>
      <c r="H10" s="246" t="s">
        <v>246</v>
      </c>
      <c r="I10" s="86" t="s">
        <v>246</v>
      </c>
      <c r="J10" s="101"/>
      <c r="K10" s="7"/>
      <c r="L10" s="246" t="s">
        <v>246</v>
      </c>
      <c r="M10" s="246" t="s">
        <v>246</v>
      </c>
      <c r="N10" s="101"/>
      <c r="O10" s="117"/>
      <c r="P10" s="100"/>
      <c r="Q10" s="100"/>
      <c r="R10" s="100"/>
      <c r="S10" s="100"/>
      <c r="T10" s="100"/>
      <c r="U10" s="100"/>
      <c r="V10" s="100"/>
      <c r="W10" s="100"/>
    </row>
    <row r="11" spans="2:23">
      <c r="B11" s="5" t="s">
        <v>281</v>
      </c>
      <c r="C11" s="122" t="s">
        <v>282</v>
      </c>
      <c r="D11" s="122" t="s">
        <v>282</v>
      </c>
      <c r="E11" s="122" t="s">
        <v>282</v>
      </c>
      <c r="F11" s="87" t="s">
        <v>282</v>
      </c>
      <c r="G11" s="87" t="s">
        <v>282</v>
      </c>
      <c r="H11" s="87" t="s">
        <v>282</v>
      </c>
      <c r="I11" s="87" t="s">
        <v>282</v>
      </c>
      <c r="J11" s="117" t="s">
        <v>304</v>
      </c>
      <c r="K11" s="122" t="s">
        <v>282</v>
      </c>
      <c r="L11" s="87" t="s">
        <v>282</v>
      </c>
      <c r="M11" s="87" t="s">
        <v>282</v>
      </c>
      <c r="N11" s="117" t="s">
        <v>304</v>
      </c>
      <c r="O11" s="117" t="s">
        <v>304</v>
      </c>
      <c r="P11" s="117" t="s">
        <v>304</v>
      </c>
      <c r="Q11" s="117" t="s">
        <v>275</v>
      </c>
      <c r="R11" s="117" t="s">
        <v>304</v>
      </c>
      <c r="S11" s="117" t="s">
        <v>275</v>
      </c>
      <c r="T11" s="117" t="s">
        <v>304</v>
      </c>
      <c r="U11" s="117" t="s">
        <v>275</v>
      </c>
      <c r="V11" s="117" t="s">
        <v>304</v>
      </c>
      <c r="W11" s="117" t="s">
        <v>275</v>
      </c>
    </row>
    <row r="12" spans="2:23">
      <c r="B12" s="5"/>
      <c r="C12" s="132" t="s">
        <v>246</v>
      </c>
      <c r="D12" s="101"/>
      <c r="E12" s="101"/>
      <c r="F12" s="246" t="s">
        <v>246</v>
      </c>
      <c r="G12" s="86" t="s">
        <v>246</v>
      </c>
      <c r="H12" s="246" t="s">
        <v>246</v>
      </c>
      <c r="I12" s="86" t="s">
        <v>246</v>
      </c>
      <c r="J12" s="101"/>
      <c r="K12" s="7"/>
      <c r="L12" s="246" t="s">
        <v>246</v>
      </c>
      <c r="M12" s="246" t="s">
        <v>246</v>
      </c>
      <c r="N12" s="101"/>
      <c r="O12" s="101"/>
      <c r="P12" s="100"/>
      <c r="Q12" s="100"/>
      <c r="R12" s="100"/>
      <c r="S12" s="100"/>
      <c r="T12" s="100"/>
      <c r="U12" s="100"/>
      <c r="V12" s="100"/>
      <c r="W12" s="100"/>
    </row>
    <row r="13" spans="2:23" ht="72" customHeight="1">
      <c r="B13" s="5" t="s">
        <v>284</v>
      </c>
      <c r="C13" s="122" t="s">
        <v>1269</v>
      </c>
      <c r="D13" s="122" t="s">
        <v>1270</v>
      </c>
      <c r="E13" s="122" t="s">
        <v>1270</v>
      </c>
      <c r="F13" s="87" t="s">
        <v>1271</v>
      </c>
      <c r="G13" s="87" t="s">
        <v>1270</v>
      </c>
      <c r="H13" s="87" t="s">
        <v>1271</v>
      </c>
      <c r="I13" s="87" t="s">
        <v>1270</v>
      </c>
      <c r="J13" s="117" t="s">
        <v>608</v>
      </c>
      <c r="K13" s="122" t="s">
        <v>1272</v>
      </c>
      <c r="L13" s="87" t="s">
        <v>1273</v>
      </c>
      <c r="M13" s="87" t="s">
        <v>1274</v>
      </c>
      <c r="N13" s="117" t="s">
        <v>610</v>
      </c>
      <c r="O13" s="117" t="s">
        <v>608</v>
      </c>
      <c r="P13" s="117" t="s">
        <v>1275</v>
      </c>
      <c r="Q13" s="117" t="s">
        <v>1276</v>
      </c>
      <c r="R13" s="117" t="s">
        <v>1275</v>
      </c>
      <c r="S13" s="117" t="s">
        <v>1277</v>
      </c>
      <c r="T13" s="117" t="s">
        <v>1275</v>
      </c>
      <c r="U13" s="117" t="s">
        <v>1276</v>
      </c>
      <c r="V13" s="117" t="s">
        <v>1275</v>
      </c>
      <c r="W13" s="117" t="s">
        <v>1277</v>
      </c>
    </row>
    <row r="14" spans="2:23">
      <c r="B14" s="5" t="s">
        <v>613</v>
      </c>
      <c r="C14" s="122" t="s">
        <v>614</v>
      </c>
      <c r="D14" s="163" t="s">
        <v>1278</v>
      </c>
      <c r="E14" s="163" t="s">
        <v>1278</v>
      </c>
      <c r="F14" s="87" t="s">
        <v>614</v>
      </c>
      <c r="G14" s="165" t="s">
        <v>1278</v>
      </c>
      <c r="H14" s="87" t="s">
        <v>614</v>
      </c>
      <c r="I14" s="165" t="s">
        <v>1278</v>
      </c>
      <c r="J14" s="163" t="s">
        <v>82</v>
      </c>
      <c r="K14" s="10" t="s">
        <v>82</v>
      </c>
      <c r="L14" s="87" t="s">
        <v>1279</v>
      </c>
      <c r="M14" s="87" t="s">
        <v>1279</v>
      </c>
      <c r="N14" s="163"/>
      <c r="O14" s="163" t="s">
        <v>82</v>
      </c>
      <c r="P14" s="220" t="s">
        <v>82</v>
      </c>
      <c r="Q14" s="220" t="s">
        <v>82</v>
      </c>
      <c r="R14" s="220" t="s">
        <v>82</v>
      </c>
      <c r="S14" s="220" t="s">
        <v>82</v>
      </c>
      <c r="T14" s="220" t="s">
        <v>82</v>
      </c>
      <c r="U14" s="220" t="s">
        <v>82</v>
      </c>
      <c r="V14" s="220" t="s">
        <v>82</v>
      </c>
      <c r="W14" s="220" t="s">
        <v>82</v>
      </c>
    </row>
    <row r="15" spans="2:23" ht="45">
      <c r="B15" s="5" t="s">
        <v>615</v>
      </c>
      <c r="C15" s="122" t="s">
        <v>616</v>
      </c>
      <c r="D15" s="163" t="s">
        <v>617</v>
      </c>
      <c r="E15" s="163" t="s">
        <v>617</v>
      </c>
      <c r="F15" s="87" t="s">
        <v>616</v>
      </c>
      <c r="G15" s="165" t="s">
        <v>617</v>
      </c>
      <c r="H15" s="87" t="s">
        <v>616</v>
      </c>
      <c r="I15" s="165" t="s">
        <v>617</v>
      </c>
      <c r="J15" s="163" t="s">
        <v>617</v>
      </c>
      <c r="K15" s="163" t="s">
        <v>617</v>
      </c>
      <c r="L15" s="87" t="s">
        <v>1280</v>
      </c>
      <c r="M15" s="87" t="s">
        <v>618</v>
      </c>
      <c r="N15" s="163" t="s">
        <v>618</v>
      </c>
      <c r="O15" s="163" t="s">
        <v>617</v>
      </c>
      <c r="P15" s="163" t="s">
        <v>619</v>
      </c>
      <c r="Q15" s="163" t="s">
        <v>1281</v>
      </c>
      <c r="R15" s="163" t="s">
        <v>619</v>
      </c>
      <c r="S15" s="163" t="s">
        <v>1281</v>
      </c>
      <c r="T15" s="163" t="s">
        <v>619</v>
      </c>
      <c r="U15" s="163" t="s">
        <v>1281</v>
      </c>
      <c r="V15" s="163" t="s">
        <v>619</v>
      </c>
      <c r="W15" s="163" t="s">
        <v>1281</v>
      </c>
    </row>
    <row r="16" spans="2:23" ht="81" customHeight="1">
      <c r="B16" s="5" t="s">
        <v>302</v>
      </c>
      <c r="C16" s="122" t="s">
        <v>1282</v>
      </c>
      <c r="D16" s="163" t="s">
        <v>1282</v>
      </c>
      <c r="E16" s="163" t="s">
        <v>1282</v>
      </c>
      <c r="F16" s="87" t="s">
        <v>1282</v>
      </c>
      <c r="G16" s="165" t="s">
        <v>1282</v>
      </c>
      <c r="H16" s="87" t="s">
        <v>1282</v>
      </c>
      <c r="I16" s="165" t="s">
        <v>1282</v>
      </c>
      <c r="J16" s="163" t="s">
        <v>1282</v>
      </c>
      <c r="K16" s="163" t="s">
        <v>1282</v>
      </c>
      <c r="L16" s="165" t="s">
        <v>644</v>
      </c>
      <c r="M16" s="165" t="s">
        <v>1283</v>
      </c>
      <c r="N16" s="163"/>
      <c r="O16" s="163" t="s">
        <v>1282</v>
      </c>
      <c r="P16" s="163" t="s">
        <v>82</v>
      </c>
      <c r="Q16" s="163"/>
      <c r="R16" s="163"/>
      <c r="S16" s="163"/>
      <c r="T16" s="163" t="s">
        <v>82</v>
      </c>
      <c r="U16" s="163"/>
      <c r="V16" s="163"/>
      <c r="W16" s="163"/>
    </row>
    <row r="17" spans="2:23">
      <c r="B17" s="5" t="s">
        <v>621</v>
      </c>
      <c r="C17" s="132" t="s">
        <v>349</v>
      </c>
      <c r="D17" s="164" t="s">
        <v>349</v>
      </c>
      <c r="E17" s="164" t="s">
        <v>349</v>
      </c>
      <c r="F17" s="246" t="s">
        <v>349</v>
      </c>
      <c r="G17" s="255" t="s">
        <v>349</v>
      </c>
      <c r="H17" s="246" t="s">
        <v>349</v>
      </c>
      <c r="I17" s="255" t="s">
        <v>349</v>
      </c>
      <c r="J17" s="164" t="s">
        <v>349</v>
      </c>
      <c r="K17" s="10" t="s">
        <v>349</v>
      </c>
      <c r="L17" s="246" t="s">
        <v>349</v>
      </c>
      <c r="M17" s="246" t="s">
        <v>349</v>
      </c>
      <c r="N17" s="164" t="s">
        <v>349</v>
      </c>
      <c r="O17" s="164" t="s">
        <v>349</v>
      </c>
      <c r="P17" s="220" t="s">
        <v>349</v>
      </c>
      <c r="Q17" s="220" t="s">
        <v>304</v>
      </c>
      <c r="R17" s="220" t="s">
        <v>349</v>
      </c>
      <c r="S17" s="220" t="s">
        <v>349</v>
      </c>
      <c r="T17" s="220" t="s">
        <v>349</v>
      </c>
      <c r="U17" s="220" t="s">
        <v>349</v>
      </c>
      <c r="V17" s="220" t="s">
        <v>349</v>
      </c>
      <c r="W17" s="220" t="s">
        <v>349</v>
      </c>
    </row>
    <row r="18" spans="2:23">
      <c r="B18" s="5"/>
      <c r="C18" s="133" t="s">
        <v>246</v>
      </c>
      <c r="D18" s="163"/>
      <c r="E18" s="163"/>
      <c r="F18" s="247" t="s">
        <v>246</v>
      </c>
      <c r="G18" s="165" t="s">
        <v>246</v>
      </c>
      <c r="H18" s="247" t="s">
        <v>246</v>
      </c>
      <c r="I18" s="165" t="s">
        <v>246</v>
      </c>
      <c r="J18" s="163"/>
      <c r="K18" s="10"/>
      <c r="L18" s="247" t="s">
        <v>246</v>
      </c>
      <c r="M18" s="247" t="s">
        <v>246</v>
      </c>
      <c r="N18" s="163"/>
      <c r="O18" s="163"/>
      <c r="P18" s="220"/>
      <c r="Q18" s="220"/>
      <c r="R18" s="220"/>
      <c r="S18" s="220"/>
      <c r="T18" s="220"/>
      <c r="U18" s="220"/>
      <c r="V18" s="220"/>
      <c r="W18" s="220"/>
    </row>
    <row r="19" spans="2:23" ht="154.5" customHeight="1">
      <c r="B19" s="5" t="s">
        <v>622</v>
      </c>
      <c r="C19" s="112" t="s">
        <v>1284</v>
      </c>
      <c r="D19" s="219" t="s">
        <v>1285</v>
      </c>
      <c r="E19" s="163" t="s">
        <v>1286</v>
      </c>
      <c r="F19" s="248" t="s">
        <v>623</v>
      </c>
      <c r="G19" s="248" t="s">
        <v>1287</v>
      </c>
      <c r="H19" s="248" t="s">
        <v>623</v>
      </c>
      <c r="I19" s="248" t="s">
        <v>1287</v>
      </c>
      <c r="J19" s="163" t="s">
        <v>624</v>
      </c>
      <c r="K19" s="220" t="s">
        <v>1288</v>
      </c>
      <c r="L19" s="248" t="s">
        <v>623</v>
      </c>
      <c r="M19" s="248" t="s">
        <v>1287</v>
      </c>
      <c r="N19" s="163" t="s">
        <v>1289</v>
      </c>
      <c r="O19" s="163" t="s">
        <v>1290</v>
      </c>
      <c r="P19" s="220" t="s">
        <v>1291</v>
      </c>
      <c r="Q19" s="220" t="s">
        <v>304</v>
      </c>
      <c r="R19" s="220" t="s">
        <v>629</v>
      </c>
      <c r="S19" s="220" t="s">
        <v>304</v>
      </c>
      <c r="T19" s="220" t="s">
        <v>1291</v>
      </c>
      <c r="U19" s="220" t="s">
        <v>304</v>
      </c>
      <c r="V19" s="250" t="s">
        <v>629</v>
      </c>
      <c r="W19" s="250" t="s">
        <v>304</v>
      </c>
    </row>
    <row r="20" spans="2:23" s="29" customFormat="1" ht="60">
      <c r="B20" s="16" t="s">
        <v>630</v>
      </c>
      <c r="C20" s="127" t="s">
        <v>1292</v>
      </c>
      <c r="D20" s="165" t="s">
        <v>1293</v>
      </c>
      <c r="E20" s="163" t="s">
        <v>1294</v>
      </c>
      <c r="F20" s="86" t="s">
        <v>631</v>
      </c>
      <c r="G20" s="86" t="s">
        <v>1295</v>
      </c>
      <c r="H20" s="86" t="s">
        <v>631</v>
      </c>
      <c r="I20" s="86" t="s">
        <v>1295</v>
      </c>
      <c r="J20" s="163" t="s">
        <v>1296</v>
      </c>
      <c r="K20" s="21" t="s">
        <v>1297</v>
      </c>
      <c r="L20" s="86" t="s">
        <v>631</v>
      </c>
      <c r="M20" s="86" t="s">
        <v>1295</v>
      </c>
      <c r="N20" s="163" t="s">
        <v>1296</v>
      </c>
      <c r="O20" s="163" t="s">
        <v>1296</v>
      </c>
      <c r="P20" s="163" t="s">
        <v>1298</v>
      </c>
      <c r="Q20" s="163" t="s">
        <v>304</v>
      </c>
      <c r="R20" s="163" t="s">
        <v>336</v>
      </c>
      <c r="S20" s="163" t="s">
        <v>304</v>
      </c>
      <c r="T20" s="163" t="s">
        <v>1298</v>
      </c>
      <c r="U20" s="163" t="s">
        <v>304</v>
      </c>
      <c r="V20" s="163" t="s">
        <v>336</v>
      </c>
      <c r="W20" s="163" t="s">
        <v>304</v>
      </c>
    </row>
    <row r="21" spans="2:23" s="29" customFormat="1" ht="67.5">
      <c r="B21" s="16" t="s">
        <v>347</v>
      </c>
      <c r="C21" s="127" t="s">
        <v>1299</v>
      </c>
      <c r="D21" s="165" t="s">
        <v>1300</v>
      </c>
      <c r="E21" s="163" t="s">
        <v>1301</v>
      </c>
      <c r="F21" s="86" t="s">
        <v>633</v>
      </c>
      <c r="G21" s="165" t="s">
        <v>1302</v>
      </c>
      <c r="H21" s="86" t="s">
        <v>633</v>
      </c>
      <c r="I21" s="165" t="s">
        <v>1302</v>
      </c>
      <c r="J21" s="163" t="s">
        <v>1303</v>
      </c>
      <c r="K21" s="21" t="s">
        <v>1304</v>
      </c>
      <c r="L21" s="86" t="s">
        <v>633</v>
      </c>
      <c r="M21" s="86" t="s">
        <v>1302</v>
      </c>
      <c r="N21" s="163" t="s">
        <v>1303</v>
      </c>
      <c r="O21" s="163" t="s">
        <v>1303</v>
      </c>
      <c r="P21" s="163" t="s">
        <v>1305</v>
      </c>
      <c r="Q21" s="163" t="s">
        <v>304</v>
      </c>
      <c r="R21" s="163" t="s">
        <v>82</v>
      </c>
      <c r="S21" s="163" t="s">
        <v>304</v>
      </c>
      <c r="T21" s="163"/>
      <c r="U21" s="163"/>
      <c r="V21" s="163" t="s">
        <v>82</v>
      </c>
      <c r="W21" s="163" t="s">
        <v>82</v>
      </c>
    </row>
    <row r="22" spans="2:23">
      <c r="B22" s="5"/>
      <c r="C22" s="133" t="s">
        <v>246</v>
      </c>
      <c r="D22" s="163"/>
      <c r="E22" s="163"/>
      <c r="F22" s="247" t="s">
        <v>246</v>
      </c>
      <c r="G22" s="165" t="s">
        <v>246</v>
      </c>
      <c r="H22" s="247" t="s">
        <v>246</v>
      </c>
      <c r="I22" s="165" t="s">
        <v>246</v>
      </c>
      <c r="J22" s="163"/>
      <c r="K22" s="41" t="s">
        <v>82</v>
      </c>
      <c r="L22" s="247" t="s">
        <v>246</v>
      </c>
      <c r="M22" s="247" t="s">
        <v>246</v>
      </c>
      <c r="N22" s="163"/>
      <c r="O22" s="163"/>
      <c r="P22" s="164" t="s">
        <v>82</v>
      </c>
      <c r="Q22" s="164" t="s">
        <v>82</v>
      </c>
      <c r="R22" s="164" t="s">
        <v>82</v>
      </c>
      <c r="S22" s="164" t="s">
        <v>82</v>
      </c>
      <c r="T22" s="164" t="s">
        <v>82</v>
      </c>
      <c r="U22" s="164" t="s">
        <v>82</v>
      </c>
      <c r="V22" s="164" t="s">
        <v>82</v>
      </c>
      <c r="W22" s="164" t="s">
        <v>82</v>
      </c>
    </row>
    <row r="23" spans="2:23" ht="75.75" customHeight="1">
      <c r="B23" s="5" t="s">
        <v>634</v>
      </c>
      <c r="C23" s="122" t="s">
        <v>1306</v>
      </c>
      <c r="D23" s="163" t="s">
        <v>1307</v>
      </c>
      <c r="E23" s="163" t="s">
        <v>1308</v>
      </c>
      <c r="F23" s="87" t="s">
        <v>635</v>
      </c>
      <c r="G23" s="165" t="s">
        <v>1307</v>
      </c>
      <c r="H23" s="87" t="s">
        <v>635</v>
      </c>
      <c r="I23" s="165" t="s">
        <v>1307</v>
      </c>
      <c r="J23" s="163" t="s">
        <v>1309</v>
      </c>
      <c r="K23" s="10" t="s">
        <v>1310</v>
      </c>
      <c r="L23" s="87" t="s">
        <v>635</v>
      </c>
      <c r="M23" s="165" t="s">
        <v>1307</v>
      </c>
      <c r="N23" s="163" t="s">
        <v>1309</v>
      </c>
      <c r="O23" s="163" t="s">
        <v>1309</v>
      </c>
      <c r="P23" s="163" t="s">
        <v>637</v>
      </c>
      <c r="Q23" s="163" t="s">
        <v>637</v>
      </c>
      <c r="R23" s="163" t="s">
        <v>637</v>
      </c>
      <c r="S23" s="163" t="s">
        <v>637</v>
      </c>
      <c r="T23" s="163" t="s">
        <v>637</v>
      </c>
      <c r="U23" s="163" t="s">
        <v>637</v>
      </c>
      <c r="V23" s="163" t="s">
        <v>637</v>
      </c>
      <c r="W23" s="163" t="s">
        <v>637</v>
      </c>
    </row>
    <row r="24" spans="2:23" ht="43.4" customHeight="1">
      <c r="B24" s="5" t="s">
        <v>638</v>
      </c>
      <c r="C24" s="141" t="s">
        <v>639</v>
      </c>
      <c r="D24" s="163" t="s">
        <v>1311</v>
      </c>
      <c r="E24" s="163" t="s">
        <v>1311</v>
      </c>
      <c r="F24" s="85" t="s">
        <v>639</v>
      </c>
      <c r="G24" s="165" t="s">
        <v>1311</v>
      </c>
      <c r="H24" s="85" t="s">
        <v>639</v>
      </c>
      <c r="I24" s="165" t="s">
        <v>1311</v>
      </c>
      <c r="J24" s="163" t="s">
        <v>82</v>
      </c>
      <c r="K24" s="10"/>
      <c r="L24" s="85" t="s">
        <v>639</v>
      </c>
      <c r="M24" s="85" t="s">
        <v>639</v>
      </c>
      <c r="N24" s="163" t="s">
        <v>82</v>
      </c>
      <c r="O24" s="163" t="s">
        <v>82</v>
      </c>
      <c r="P24" s="220"/>
      <c r="Q24" s="220"/>
      <c r="R24" s="220"/>
      <c r="S24" s="220"/>
      <c r="T24" s="220"/>
      <c r="U24" s="220"/>
      <c r="V24" s="220"/>
      <c r="W24" s="220"/>
    </row>
    <row r="25" spans="2:23" ht="30">
      <c r="B25" s="5" t="s">
        <v>640</v>
      </c>
      <c r="C25" s="122" t="s">
        <v>1312</v>
      </c>
      <c r="D25" s="168" t="s">
        <v>1313</v>
      </c>
      <c r="E25" s="163" t="s">
        <v>1314</v>
      </c>
      <c r="F25" s="87" t="s">
        <v>641</v>
      </c>
      <c r="G25" s="255" t="s">
        <v>1313</v>
      </c>
      <c r="H25" s="87" t="s">
        <v>641</v>
      </c>
      <c r="I25" s="255" t="s">
        <v>1313</v>
      </c>
      <c r="J25" s="163" t="s">
        <v>1315</v>
      </c>
      <c r="K25" s="9" t="s">
        <v>1316</v>
      </c>
      <c r="L25" s="87" t="s">
        <v>641</v>
      </c>
      <c r="M25" s="87" t="s">
        <v>641</v>
      </c>
      <c r="N25" s="163" t="s">
        <v>1315</v>
      </c>
      <c r="O25" s="163" t="s">
        <v>1315</v>
      </c>
      <c r="P25" s="241" t="s">
        <v>644</v>
      </c>
      <c r="Q25" s="241" t="s">
        <v>644</v>
      </c>
      <c r="R25" s="241" t="s">
        <v>644</v>
      </c>
      <c r="S25" s="241" t="s">
        <v>644</v>
      </c>
      <c r="T25" s="241" t="s">
        <v>644</v>
      </c>
      <c r="U25" s="241" t="s">
        <v>644</v>
      </c>
      <c r="V25" s="241" t="s">
        <v>644</v>
      </c>
      <c r="W25" s="241" t="s">
        <v>644</v>
      </c>
    </row>
    <row r="26" spans="2:23">
      <c r="B26" s="5"/>
      <c r="C26" s="131" t="s">
        <v>246</v>
      </c>
      <c r="D26" s="163"/>
      <c r="E26" s="163"/>
      <c r="F26" s="249" t="s">
        <v>246</v>
      </c>
      <c r="G26" s="165" t="s">
        <v>246</v>
      </c>
      <c r="H26" s="249" t="s">
        <v>246</v>
      </c>
      <c r="I26" s="165" t="s">
        <v>246</v>
      </c>
      <c r="J26" s="163"/>
      <c r="K26" s="10"/>
      <c r="L26" s="249" t="s">
        <v>246</v>
      </c>
      <c r="M26" s="249" t="s">
        <v>246</v>
      </c>
      <c r="N26" s="163"/>
      <c r="O26" s="163"/>
      <c r="P26" s="220"/>
      <c r="Q26" s="220"/>
      <c r="R26" s="220"/>
      <c r="S26" s="220"/>
      <c r="T26" s="220"/>
      <c r="U26" s="220"/>
      <c r="V26" s="220"/>
      <c r="W26" s="220"/>
    </row>
    <row r="27" spans="2:23" ht="113.25" customHeight="1">
      <c r="B27" s="5" t="s">
        <v>645</v>
      </c>
      <c r="C27" s="122" t="s">
        <v>1317</v>
      </c>
      <c r="D27" s="163" t="s">
        <v>1318</v>
      </c>
      <c r="E27" s="163" t="s">
        <v>1319</v>
      </c>
      <c r="F27" s="87" t="s">
        <v>1320</v>
      </c>
      <c r="G27" s="165" t="s">
        <v>1321</v>
      </c>
      <c r="H27" s="87" t="s">
        <v>1322</v>
      </c>
      <c r="I27" s="165" t="s">
        <v>1323</v>
      </c>
      <c r="J27" s="163" t="s">
        <v>1324</v>
      </c>
      <c r="K27" s="10" t="s">
        <v>1325</v>
      </c>
      <c r="L27" s="87" t="s">
        <v>1326</v>
      </c>
      <c r="M27" s="87" t="s">
        <v>1327</v>
      </c>
      <c r="N27" s="163" t="s">
        <v>1324</v>
      </c>
      <c r="O27" s="163" t="s">
        <v>1328</v>
      </c>
      <c r="P27" s="220" t="s">
        <v>1329</v>
      </c>
      <c r="Q27" s="220" t="s">
        <v>1325</v>
      </c>
      <c r="R27" s="220" t="s">
        <v>1329</v>
      </c>
      <c r="S27" s="220" t="s">
        <v>1325</v>
      </c>
      <c r="T27" s="220" t="s">
        <v>1329</v>
      </c>
      <c r="U27" s="220" t="s">
        <v>1325</v>
      </c>
      <c r="V27" s="220" t="s">
        <v>1329</v>
      </c>
      <c r="W27" s="220" t="s">
        <v>1325</v>
      </c>
    </row>
    <row r="28" spans="2:23" s="36" customFormat="1" ht="37.5" customHeight="1">
      <c r="B28" s="5" t="s">
        <v>651</v>
      </c>
      <c r="C28" s="122">
        <v>4</v>
      </c>
      <c r="D28" s="163">
        <v>4</v>
      </c>
      <c r="E28" s="163">
        <v>2</v>
      </c>
      <c r="F28" s="87">
        <v>4</v>
      </c>
      <c r="G28" s="165">
        <v>4</v>
      </c>
      <c r="H28" s="87">
        <v>4</v>
      </c>
      <c r="I28" s="165">
        <v>4</v>
      </c>
      <c r="J28" s="163">
        <v>2</v>
      </c>
      <c r="K28" s="10">
        <v>2</v>
      </c>
      <c r="L28" s="87">
        <v>4</v>
      </c>
      <c r="M28" s="87">
        <v>4</v>
      </c>
      <c r="N28" s="163">
        <v>2</v>
      </c>
      <c r="O28" s="163">
        <v>2</v>
      </c>
      <c r="P28" s="220">
        <v>2</v>
      </c>
      <c r="Q28" s="220">
        <v>2</v>
      </c>
      <c r="R28" s="220">
        <v>2</v>
      </c>
      <c r="S28" s="220">
        <v>2</v>
      </c>
      <c r="T28" s="220">
        <v>2</v>
      </c>
      <c r="U28" s="220">
        <v>2</v>
      </c>
      <c r="V28" s="220">
        <v>2</v>
      </c>
      <c r="W28" s="220">
        <v>2</v>
      </c>
    </row>
    <row r="29" spans="2:23" s="4" customFormat="1" ht="45">
      <c r="B29" s="5" t="s">
        <v>653</v>
      </c>
      <c r="C29" s="122" t="s">
        <v>654</v>
      </c>
      <c r="D29" s="163" t="s">
        <v>1330</v>
      </c>
      <c r="E29" s="163" t="s">
        <v>655</v>
      </c>
      <c r="F29" s="122" t="s">
        <v>1331</v>
      </c>
      <c r="G29" s="165" t="s">
        <v>1332</v>
      </c>
      <c r="H29" s="122" t="s">
        <v>654</v>
      </c>
      <c r="I29" s="165" t="s">
        <v>1332</v>
      </c>
      <c r="J29" s="163" t="s">
        <v>655</v>
      </c>
      <c r="K29" s="245" t="s">
        <v>1333</v>
      </c>
      <c r="L29" s="165" t="s">
        <v>1330</v>
      </c>
      <c r="M29" s="165" t="s">
        <v>1330</v>
      </c>
      <c r="N29" s="163" t="s">
        <v>655</v>
      </c>
      <c r="O29" s="163" t="s">
        <v>655</v>
      </c>
      <c r="P29" s="220" t="s">
        <v>1334</v>
      </c>
      <c r="Q29" s="220" t="s">
        <v>1334</v>
      </c>
      <c r="R29" s="220" t="s">
        <v>1334</v>
      </c>
      <c r="S29" s="220" t="s">
        <v>1334</v>
      </c>
      <c r="T29" s="220" t="s">
        <v>1334</v>
      </c>
      <c r="U29" s="220" t="s">
        <v>1334</v>
      </c>
      <c r="V29" s="220" t="s">
        <v>1334</v>
      </c>
      <c r="W29" s="220" t="s">
        <v>1334</v>
      </c>
    </row>
    <row r="30" spans="2:23" s="4" customFormat="1" ht="45">
      <c r="B30" s="5" t="s">
        <v>658</v>
      </c>
      <c r="C30" s="122" t="s">
        <v>1335</v>
      </c>
      <c r="D30" s="163" t="s">
        <v>1336</v>
      </c>
      <c r="E30" s="163" t="s">
        <v>660</v>
      </c>
      <c r="F30" s="87" t="s">
        <v>659</v>
      </c>
      <c r="G30" s="87" t="s">
        <v>659</v>
      </c>
      <c r="H30" s="87" t="s">
        <v>659</v>
      </c>
      <c r="I30" s="87" t="s">
        <v>659</v>
      </c>
      <c r="J30" s="163" t="s">
        <v>660</v>
      </c>
      <c r="K30" s="163" t="s">
        <v>1337</v>
      </c>
      <c r="L30" s="87" t="s">
        <v>659</v>
      </c>
      <c r="M30" s="87" t="s">
        <v>659</v>
      </c>
      <c r="N30" s="163" t="s">
        <v>660</v>
      </c>
      <c r="O30" s="163" t="s">
        <v>660</v>
      </c>
      <c r="P30" s="163" t="s">
        <v>662</v>
      </c>
      <c r="Q30" s="163" t="s">
        <v>662</v>
      </c>
      <c r="R30" s="163" t="s">
        <v>662</v>
      </c>
      <c r="S30" s="163" t="s">
        <v>662</v>
      </c>
      <c r="T30" s="163" t="s">
        <v>662</v>
      </c>
      <c r="U30" s="163" t="s">
        <v>662</v>
      </c>
      <c r="V30" s="163" t="s">
        <v>662</v>
      </c>
      <c r="W30" s="163" t="s">
        <v>662</v>
      </c>
    </row>
    <row r="31" spans="2:23">
      <c r="B31" s="5"/>
      <c r="C31" s="122" t="s">
        <v>246</v>
      </c>
      <c r="D31" s="163"/>
      <c r="E31" s="169"/>
      <c r="F31" s="87" t="s">
        <v>246</v>
      </c>
      <c r="G31" s="165" t="s">
        <v>246</v>
      </c>
      <c r="H31" s="87" t="s">
        <v>246</v>
      </c>
      <c r="I31" s="165" t="s">
        <v>246</v>
      </c>
      <c r="J31" s="169"/>
      <c r="K31" s="10" t="s">
        <v>82</v>
      </c>
      <c r="L31" s="87" t="s">
        <v>246</v>
      </c>
      <c r="M31" s="87" t="s">
        <v>246</v>
      </c>
      <c r="N31" s="169"/>
      <c r="O31" s="169"/>
      <c r="P31" s="220" t="s">
        <v>82</v>
      </c>
      <c r="Q31" s="220" t="s">
        <v>82</v>
      </c>
      <c r="R31" s="220" t="s">
        <v>82</v>
      </c>
      <c r="S31" s="220" t="s">
        <v>82</v>
      </c>
      <c r="T31" s="220" t="s">
        <v>82</v>
      </c>
      <c r="U31" s="220" t="s">
        <v>82</v>
      </c>
      <c r="V31" s="220" t="s">
        <v>82</v>
      </c>
      <c r="W31" s="220" t="s">
        <v>82</v>
      </c>
    </row>
    <row r="32" spans="2:23">
      <c r="B32" s="5" t="s">
        <v>663</v>
      </c>
      <c r="C32" s="122" t="s">
        <v>423</v>
      </c>
      <c r="D32" s="163" t="s">
        <v>423</v>
      </c>
      <c r="E32" s="163" t="s">
        <v>1338</v>
      </c>
      <c r="F32" s="87" t="s">
        <v>423</v>
      </c>
      <c r="G32" s="165" t="s">
        <v>423</v>
      </c>
      <c r="H32" s="87" t="s">
        <v>423</v>
      </c>
      <c r="I32" s="165" t="s">
        <v>423</v>
      </c>
      <c r="J32" s="163" t="s">
        <v>664</v>
      </c>
      <c r="K32" s="10" t="s">
        <v>1339</v>
      </c>
      <c r="L32" s="87" t="s">
        <v>1340</v>
      </c>
      <c r="M32" s="87" t="s">
        <v>1340</v>
      </c>
      <c r="N32" s="163" t="s">
        <v>664</v>
      </c>
      <c r="O32" s="163" t="s">
        <v>664</v>
      </c>
      <c r="P32" s="220" t="s">
        <v>666</v>
      </c>
      <c r="Q32" s="220" t="s">
        <v>666</v>
      </c>
      <c r="R32" s="220" t="s">
        <v>666</v>
      </c>
      <c r="S32" s="220" t="s">
        <v>666</v>
      </c>
      <c r="T32" s="220" t="s">
        <v>666</v>
      </c>
      <c r="U32" s="220" t="s">
        <v>666</v>
      </c>
      <c r="V32" s="220" t="s">
        <v>666</v>
      </c>
      <c r="W32" s="220" t="s">
        <v>666</v>
      </c>
    </row>
    <row r="33" spans="2:23" s="36" customFormat="1" ht="40.5" customHeight="1">
      <c r="B33" s="5" t="s">
        <v>667</v>
      </c>
      <c r="C33" s="122" t="s">
        <v>668</v>
      </c>
      <c r="D33" s="163" t="s">
        <v>668</v>
      </c>
      <c r="E33" s="163" t="s">
        <v>668</v>
      </c>
      <c r="F33" s="87" t="s">
        <v>668</v>
      </c>
      <c r="G33" s="165" t="s">
        <v>668</v>
      </c>
      <c r="H33" s="87" t="s">
        <v>668</v>
      </c>
      <c r="I33" s="165" t="s">
        <v>668</v>
      </c>
      <c r="J33" s="163" t="s">
        <v>668</v>
      </c>
      <c r="K33" s="10" t="s">
        <v>1341</v>
      </c>
      <c r="L33" s="87" t="s">
        <v>668</v>
      </c>
      <c r="M33" s="87" t="s">
        <v>668</v>
      </c>
      <c r="N33" s="163" t="s">
        <v>668</v>
      </c>
      <c r="O33" s="163" t="s">
        <v>668</v>
      </c>
      <c r="P33" s="220" t="s">
        <v>670</v>
      </c>
      <c r="Q33" s="284" t="s">
        <v>1341</v>
      </c>
      <c r="R33" s="220" t="s">
        <v>670</v>
      </c>
      <c r="S33" s="220" t="s">
        <v>1341</v>
      </c>
      <c r="T33" s="220" t="s">
        <v>670</v>
      </c>
      <c r="U33" s="220" t="s">
        <v>1341</v>
      </c>
      <c r="V33" s="220" t="s">
        <v>670</v>
      </c>
      <c r="W33" s="220" t="s">
        <v>1341</v>
      </c>
    </row>
    <row r="34" spans="2:23" s="36" customFormat="1">
      <c r="B34" s="5" t="s">
        <v>205</v>
      </c>
      <c r="C34" s="122">
        <v>5</v>
      </c>
      <c r="D34" s="163">
        <v>5</v>
      </c>
      <c r="E34" s="163">
        <v>5</v>
      </c>
      <c r="F34" s="87">
        <v>5</v>
      </c>
      <c r="G34" s="165">
        <v>5</v>
      </c>
      <c r="H34" s="87">
        <v>5</v>
      </c>
      <c r="I34" s="165">
        <v>5</v>
      </c>
      <c r="J34" s="163">
        <v>5</v>
      </c>
      <c r="K34" s="10">
        <v>5</v>
      </c>
      <c r="L34" s="87">
        <v>5</v>
      </c>
      <c r="M34" s="87">
        <v>5</v>
      </c>
      <c r="N34" s="163">
        <v>5</v>
      </c>
      <c r="O34" s="163">
        <v>5</v>
      </c>
      <c r="P34" s="220">
        <v>5.2</v>
      </c>
      <c r="Q34" s="220">
        <v>5.2</v>
      </c>
      <c r="R34" s="220">
        <v>5.2</v>
      </c>
      <c r="S34" s="220">
        <v>5.2</v>
      </c>
      <c r="T34" s="220">
        <v>5.2</v>
      </c>
      <c r="U34" s="220">
        <v>5.2</v>
      </c>
      <c r="V34" s="220">
        <v>5.2</v>
      </c>
      <c r="W34" s="220">
        <v>5.2</v>
      </c>
    </row>
    <row r="35" spans="2:23">
      <c r="B35" s="5"/>
      <c r="C35" s="122" t="s">
        <v>246</v>
      </c>
      <c r="D35" s="163"/>
      <c r="E35" s="163"/>
      <c r="F35" s="87" t="s">
        <v>246</v>
      </c>
      <c r="G35" s="165" t="s">
        <v>246</v>
      </c>
      <c r="H35" s="87" t="s">
        <v>246</v>
      </c>
      <c r="I35" s="165" t="s">
        <v>246</v>
      </c>
      <c r="J35" s="163"/>
      <c r="K35" s="10"/>
      <c r="L35" s="87" t="s">
        <v>246</v>
      </c>
      <c r="M35" s="87" t="s">
        <v>246</v>
      </c>
      <c r="N35" s="163"/>
      <c r="O35" s="163"/>
      <c r="P35" s="220"/>
      <c r="Q35" s="220"/>
      <c r="R35" s="220"/>
      <c r="S35" s="220"/>
      <c r="T35" s="220"/>
      <c r="U35" s="220"/>
      <c r="V35" s="220"/>
      <c r="W35" s="220"/>
    </row>
    <row r="36" spans="2:23" s="36" customFormat="1" ht="54">
      <c r="B36" s="5" t="s">
        <v>435</v>
      </c>
      <c r="C36" s="122" t="s">
        <v>1342</v>
      </c>
      <c r="D36" s="165" t="s">
        <v>1343</v>
      </c>
      <c r="E36" s="163" t="s">
        <v>1344</v>
      </c>
      <c r="F36" s="87" t="s">
        <v>1342</v>
      </c>
      <c r="G36" s="165" t="s">
        <v>1345</v>
      </c>
      <c r="H36" s="87" t="s">
        <v>1342</v>
      </c>
      <c r="I36" s="165" t="s">
        <v>1345</v>
      </c>
      <c r="J36" s="163" t="s">
        <v>673</v>
      </c>
      <c r="K36" s="10" t="s">
        <v>1346</v>
      </c>
      <c r="L36" s="87" t="s">
        <v>1342</v>
      </c>
      <c r="M36" s="87" t="s">
        <v>1345</v>
      </c>
      <c r="N36" s="163" t="s">
        <v>673</v>
      </c>
      <c r="O36" s="163" t="s">
        <v>673</v>
      </c>
      <c r="P36" s="220" t="s">
        <v>1347</v>
      </c>
      <c r="Q36" s="220" t="s">
        <v>1347</v>
      </c>
      <c r="R36" s="220" t="s">
        <v>1348</v>
      </c>
      <c r="S36" s="220" t="s">
        <v>1348</v>
      </c>
      <c r="T36" s="220" t="s">
        <v>1349</v>
      </c>
      <c r="U36" s="220" t="s">
        <v>1349</v>
      </c>
      <c r="V36" s="220" t="s">
        <v>675</v>
      </c>
      <c r="W36" s="220" t="s">
        <v>675</v>
      </c>
    </row>
    <row r="37" spans="2:23" ht="255">
      <c r="B37" s="5" t="s">
        <v>676</v>
      </c>
      <c r="C37" s="143" t="s">
        <v>1350</v>
      </c>
      <c r="D37" s="167" t="s">
        <v>1351</v>
      </c>
      <c r="E37" s="170" t="s">
        <v>1352</v>
      </c>
      <c r="F37" s="162" t="s">
        <v>677</v>
      </c>
      <c r="G37" s="162" t="s">
        <v>1353</v>
      </c>
      <c r="H37" s="162" t="s">
        <v>677</v>
      </c>
      <c r="I37" s="162" t="s">
        <v>1353</v>
      </c>
      <c r="J37" s="170" t="s">
        <v>678</v>
      </c>
      <c r="K37" s="171" t="s">
        <v>1354</v>
      </c>
      <c r="L37" s="162" t="s">
        <v>1355</v>
      </c>
      <c r="M37" s="162" t="s">
        <v>1355</v>
      </c>
      <c r="N37" s="170" t="s">
        <v>678</v>
      </c>
      <c r="O37" s="170" t="s">
        <v>678</v>
      </c>
      <c r="P37" s="250" t="s">
        <v>1356</v>
      </c>
      <c r="Q37" s="220" t="s">
        <v>1357</v>
      </c>
      <c r="R37" s="220" t="s">
        <v>1356</v>
      </c>
      <c r="S37" s="220" t="s">
        <v>1357</v>
      </c>
      <c r="T37" s="250" t="s">
        <v>679</v>
      </c>
      <c r="U37" s="220" t="s">
        <v>1358</v>
      </c>
      <c r="V37" s="250" t="s">
        <v>679</v>
      </c>
      <c r="W37" s="220" t="s">
        <v>1358</v>
      </c>
    </row>
    <row r="38" spans="2:23" ht="30">
      <c r="B38" s="5" t="s">
        <v>680</v>
      </c>
      <c r="C38" s="122" t="s">
        <v>1359</v>
      </c>
      <c r="D38" s="163" t="s">
        <v>644</v>
      </c>
      <c r="E38" s="163" t="s">
        <v>644</v>
      </c>
      <c r="F38" s="87" t="s">
        <v>644</v>
      </c>
      <c r="G38" s="165" t="s">
        <v>644</v>
      </c>
      <c r="H38" s="87" t="s">
        <v>644</v>
      </c>
      <c r="I38" s="165" t="s">
        <v>644</v>
      </c>
      <c r="J38" s="163" t="s">
        <v>644</v>
      </c>
      <c r="K38" s="171" t="s">
        <v>644</v>
      </c>
      <c r="L38" s="87" t="s">
        <v>644</v>
      </c>
      <c r="M38" s="87" t="s">
        <v>644</v>
      </c>
      <c r="N38" s="163" t="s">
        <v>644</v>
      </c>
      <c r="O38" s="163" t="s">
        <v>644</v>
      </c>
      <c r="P38" s="220" t="s">
        <v>644</v>
      </c>
      <c r="Q38" s="220" t="s">
        <v>644</v>
      </c>
      <c r="R38" s="220" t="s">
        <v>644</v>
      </c>
      <c r="S38" s="220" t="s">
        <v>644</v>
      </c>
      <c r="T38" s="220" t="s">
        <v>644</v>
      </c>
      <c r="U38" s="220" t="s">
        <v>644</v>
      </c>
      <c r="V38" s="220" t="s">
        <v>644</v>
      </c>
      <c r="W38" s="220" t="s">
        <v>644</v>
      </c>
    </row>
    <row r="39" spans="2:23" ht="127.5" customHeight="1">
      <c r="B39" s="5" t="s">
        <v>681</v>
      </c>
      <c r="C39" s="10" t="s">
        <v>1360</v>
      </c>
      <c r="D39" s="163" t="s">
        <v>683</v>
      </c>
      <c r="E39" s="163" t="s">
        <v>683</v>
      </c>
      <c r="F39" s="250" t="s">
        <v>682</v>
      </c>
      <c r="G39" s="165" t="s">
        <v>683</v>
      </c>
      <c r="H39" s="250" t="s">
        <v>682</v>
      </c>
      <c r="I39" s="165" t="s">
        <v>683</v>
      </c>
      <c r="J39" s="163" t="s">
        <v>683</v>
      </c>
      <c r="K39" s="10" t="s">
        <v>1361</v>
      </c>
      <c r="L39" s="250" t="s">
        <v>1362</v>
      </c>
      <c r="M39" s="250" t="s">
        <v>1362</v>
      </c>
      <c r="N39" s="163" t="s">
        <v>683</v>
      </c>
      <c r="O39" s="163" t="s">
        <v>683</v>
      </c>
      <c r="P39" s="220" t="s">
        <v>684</v>
      </c>
      <c r="Q39" s="220" t="s">
        <v>684</v>
      </c>
      <c r="R39" s="220" t="s">
        <v>684</v>
      </c>
      <c r="S39" s="220" t="s">
        <v>684</v>
      </c>
      <c r="T39" s="220" t="s">
        <v>684</v>
      </c>
      <c r="U39" s="220" t="s">
        <v>684</v>
      </c>
      <c r="V39" s="220" t="s">
        <v>684</v>
      </c>
      <c r="W39" s="220" t="s">
        <v>684</v>
      </c>
    </row>
    <row r="40" spans="2:23" ht="78" customHeight="1">
      <c r="B40" s="5" t="s">
        <v>685</v>
      </c>
      <c r="C40" s="141" t="s">
        <v>1363</v>
      </c>
      <c r="D40" s="163" t="s">
        <v>1363</v>
      </c>
      <c r="E40" s="163" t="s">
        <v>687</v>
      </c>
      <c r="F40" s="165" t="s">
        <v>686</v>
      </c>
      <c r="G40" s="165" t="s">
        <v>686</v>
      </c>
      <c r="H40" s="165" t="s">
        <v>686</v>
      </c>
      <c r="I40" s="165" t="s">
        <v>686</v>
      </c>
      <c r="J40" s="163" t="s">
        <v>687</v>
      </c>
      <c r="K40" s="10" t="s">
        <v>1364</v>
      </c>
      <c r="L40" s="165" t="s">
        <v>686</v>
      </c>
      <c r="M40" s="165" t="s">
        <v>686</v>
      </c>
      <c r="N40" s="163" t="s">
        <v>687</v>
      </c>
      <c r="O40" s="163" t="s">
        <v>687</v>
      </c>
      <c r="P40" s="241" t="s">
        <v>82</v>
      </c>
      <c r="Q40" s="241" t="s">
        <v>82</v>
      </c>
      <c r="R40" s="241" t="s">
        <v>82</v>
      </c>
      <c r="S40" s="241" t="s">
        <v>82</v>
      </c>
      <c r="T40" s="241" t="s">
        <v>82</v>
      </c>
      <c r="U40" s="241" t="s">
        <v>82</v>
      </c>
      <c r="V40" s="241" t="s">
        <v>82</v>
      </c>
      <c r="W40" s="241" t="s">
        <v>82</v>
      </c>
    </row>
    <row r="41" spans="2:23">
      <c r="B41" s="5" t="s">
        <v>688</v>
      </c>
      <c r="C41" s="141" t="s">
        <v>689</v>
      </c>
      <c r="D41" s="163" t="s">
        <v>689</v>
      </c>
      <c r="E41" s="163" t="s">
        <v>689</v>
      </c>
      <c r="F41" s="85" t="s">
        <v>689</v>
      </c>
      <c r="G41" s="165" t="s">
        <v>689</v>
      </c>
      <c r="H41" s="85" t="s">
        <v>689</v>
      </c>
      <c r="I41" s="165" t="s">
        <v>689</v>
      </c>
      <c r="J41" s="163" t="s">
        <v>689</v>
      </c>
      <c r="K41" s="10" t="s">
        <v>689</v>
      </c>
      <c r="L41" s="85" t="s">
        <v>689</v>
      </c>
      <c r="M41" s="85" t="s">
        <v>689</v>
      </c>
      <c r="N41" s="163" t="s">
        <v>689</v>
      </c>
      <c r="O41" s="163" t="s">
        <v>689</v>
      </c>
      <c r="P41" s="220" t="s">
        <v>690</v>
      </c>
      <c r="Q41" s="220" t="s">
        <v>690</v>
      </c>
      <c r="R41" s="220" t="s">
        <v>690</v>
      </c>
      <c r="S41" s="220" t="s">
        <v>690</v>
      </c>
      <c r="T41" s="220" t="s">
        <v>690</v>
      </c>
      <c r="U41" s="220" t="s">
        <v>690</v>
      </c>
      <c r="V41" s="220" t="s">
        <v>690</v>
      </c>
      <c r="W41" s="220" t="s">
        <v>690</v>
      </c>
    </row>
    <row r="42" spans="2:23" ht="30">
      <c r="B42" s="5" t="s">
        <v>473</v>
      </c>
      <c r="C42" s="141" t="s">
        <v>691</v>
      </c>
      <c r="D42" s="163" t="s">
        <v>691</v>
      </c>
      <c r="E42" s="163" t="s">
        <v>691</v>
      </c>
      <c r="F42" s="85" t="s">
        <v>691</v>
      </c>
      <c r="G42" s="165" t="s">
        <v>691</v>
      </c>
      <c r="H42" s="85" t="s">
        <v>691</v>
      </c>
      <c r="I42" s="165" t="s">
        <v>691</v>
      </c>
      <c r="J42" s="163" t="s">
        <v>691</v>
      </c>
      <c r="K42" s="10" t="s">
        <v>1365</v>
      </c>
      <c r="L42" s="85" t="s">
        <v>691</v>
      </c>
      <c r="M42" s="85" t="s">
        <v>691</v>
      </c>
      <c r="N42" s="163" t="s">
        <v>691</v>
      </c>
      <c r="O42" s="163" t="s">
        <v>691</v>
      </c>
      <c r="P42" s="220" t="s">
        <v>691</v>
      </c>
      <c r="Q42" s="220" t="s">
        <v>691</v>
      </c>
      <c r="R42" s="220" t="s">
        <v>691</v>
      </c>
      <c r="S42" s="220" t="s">
        <v>691</v>
      </c>
      <c r="T42" s="220" t="s">
        <v>691</v>
      </c>
      <c r="U42" s="220" t="s">
        <v>691</v>
      </c>
      <c r="V42" s="220" t="s">
        <v>691</v>
      </c>
      <c r="W42" s="220" t="s">
        <v>691</v>
      </c>
    </row>
    <row r="43" spans="2:23">
      <c r="B43" s="5" t="s">
        <v>801</v>
      </c>
      <c r="C43" s="142" t="s">
        <v>1366</v>
      </c>
      <c r="D43" s="164" t="s">
        <v>1366</v>
      </c>
      <c r="E43" s="164" t="s">
        <v>1366</v>
      </c>
      <c r="F43" s="247" t="s">
        <v>1366</v>
      </c>
      <c r="G43" s="255" t="s">
        <v>1366</v>
      </c>
      <c r="H43" s="247" t="s">
        <v>1366</v>
      </c>
      <c r="I43" s="255" t="s">
        <v>1366</v>
      </c>
      <c r="J43" s="164" t="s">
        <v>304</v>
      </c>
      <c r="K43" s="41" t="s">
        <v>1367</v>
      </c>
      <c r="L43" s="247" t="s">
        <v>644</v>
      </c>
      <c r="M43" s="247" t="s">
        <v>644</v>
      </c>
      <c r="N43" s="164" t="s">
        <v>304</v>
      </c>
      <c r="O43" s="164" t="s">
        <v>304</v>
      </c>
      <c r="P43" s="164" t="s">
        <v>304</v>
      </c>
      <c r="Q43" s="164" t="s">
        <v>304</v>
      </c>
      <c r="R43" s="164" t="s">
        <v>304</v>
      </c>
      <c r="S43" s="164" t="s">
        <v>304</v>
      </c>
      <c r="T43" s="164" t="s">
        <v>304</v>
      </c>
      <c r="U43" s="164" t="s">
        <v>304</v>
      </c>
      <c r="V43" s="164" t="s">
        <v>304</v>
      </c>
      <c r="W43" s="164" t="s">
        <v>304</v>
      </c>
    </row>
    <row r="44" spans="2:23">
      <c r="B44" s="5" t="s">
        <v>694</v>
      </c>
      <c r="C44" s="142"/>
      <c r="D44" s="164"/>
      <c r="E44" s="164"/>
      <c r="F44" s="247" t="s">
        <v>307</v>
      </c>
      <c r="G44" s="247" t="s">
        <v>307</v>
      </c>
      <c r="H44" s="247" t="s">
        <v>307</v>
      </c>
      <c r="I44" s="247" t="s">
        <v>307</v>
      </c>
      <c r="J44" s="164"/>
      <c r="K44" s="41"/>
      <c r="L44" s="247" t="s">
        <v>307</v>
      </c>
      <c r="M44" s="247" t="s">
        <v>307</v>
      </c>
      <c r="N44" s="164"/>
      <c r="O44" s="164"/>
      <c r="P44" s="164"/>
      <c r="Q44" s="164"/>
      <c r="R44" s="164"/>
      <c r="S44" s="164"/>
      <c r="T44" s="164"/>
      <c r="U44" s="164"/>
      <c r="V44" s="164"/>
      <c r="W44" s="164"/>
    </row>
    <row r="45" spans="2:23">
      <c r="B45" s="5"/>
      <c r="C45" s="142" t="s">
        <v>246</v>
      </c>
      <c r="D45" s="163"/>
      <c r="E45" s="163"/>
      <c r="F45" s="247" t="s">
        <v>246</v>
      </c>
      <c r="G45" s="165" t="s">
        <v>246</v>
      </c>
      <c r="H45" s="247" t="s">
        <v>246</v>
      </c>
      <c r="I45" s="165" t="s">
        <v>246</v>
      </c>
      <c r="J45" s="163"/>
      <c r="K45" s="10"/>
      <c r="L45" s="247" t="s">
        <v>246</v>
      </c>
      <c r="M45" s="247" t="s">
        <v>246</v>
      </c>
      <c r="N45" s="163"/>
      <c r="O45" s="163"/>
      <c r="P45" s="220"/>
      <c r="Q45" s="220"/>
      <c r="R45" s="220"/>
      <c r="S45" s="220"/>
      <c r="T45" s="220"/>
      <c r="U45" s="220"/>
      <c r="V45" s="220"/>
      <c r="W45" s="220"/>
    </row>
    <row r="46" spans="2:23">
      <c r="B46" s="5" t="s">
        <v>695</v>
      </c>
      <c r="C46" s="142" t="s">
        <v>1368</v>
      </c>
      <c r="D46" s="166">
        <v>0.85</v>
      </c>
      <c r="E46" s="166">
        <v>0.85</v>
      </c>
      <c r="F46" s="246" t="s">
        <v>246</v>
      </c>
      <c r="G46" s="255" t="s">
        <v>246</v>
      </c>
      <c r="H46" s="285">
        <v>0.65</v>
      </c>
      <c r="I46" s="286">
        <v>0.65</v>
      </c>
      <c r="J46" s="166">
        <v>0.85</v>
      </c>
      <c r="K46" s="9" t="s">
        <v>237</v>
      </c>
      <c r="L46" s="285">
        <v>0.65</v>
      </c>
      <c r="M46" s="285">
        <v>0.65</v>
      </c>
      <c r="N46" s="166">
        <v>0.85</v>
      </c>
      <c r="O46" s="166">
        <v>0.85</v>
      </c>
      <c r="P46" s="241" t="s">
        <v>644</v>
      </c>
      <c r="Q46" s="241" t="s">
        <v>644</v>
      </c>
      <c r="R46" s="241" t="s">
        <v>644</v>
      </c>
      <c r="S46" s="241" t="s">
        <v>644</v>
      </c>
      <c r="T46" s="241" t="s">
        <v>644</v>
      </c>
      <c r="U46" s="241" t="s">
        <v>644</v>
      </c>
      <c r="V46" s="241" t="s">
        <v>644</v>
      </c>
      <c r="W46" s="241" t="s">
        <v>644</v>
      </c>
    </row>
    <row r="47" spans="2:23" ht="27">
      <c r="B47" s="5" t="s">
        <v>494</v>
      </c>
      <c r="C47" s="142" t="s">
        <v>1369</v>
      </c>
      <c r="D47" s="163" t="s">
        <v>1370</v>
      </c>
      <c r="E47" s="163" t="s">
        <v>1371</v>
      </c>
      <c r="F47" s="246" t="s">
        <v>1372</v>
      </c>
      <c r="G47" s="165" t="s">
        <v>1372</v>
      </c>
      <c r="H47" s="87" t="s">
        <v>696</v>
      </c>
      <c r="I47" s="165" t="s">
        <v>696</v>
      </c>
      <c r="J47" s="163" t="s">
        <v>1373</v>
      </c>
      <c r="K47" s="10" t="s">
        <v>1374</v>
      </c>
      <c r="L47" s="246" t="s">
        <v>1372</v>
      </c>
      <c r="M47" s="258" t="s">
        <v>1372</v>
      </c>
      <c r="N47" s="163" t="s">
        <v>1373</v>
      </c>
      <c r="O47" s="163" t="s">
        <v>1373</v>
      </c>
      <c r="P47" s="220" t="s">
        <v>1375</v>
      </c>
      <c r="Q47" s="220" t="s">
        <v>1375</v>
      </c>
      <c r="R47" s="220" t="s">
        <v>1376</v>
      </c>
      <c r="S47" s="220" t="s">
        <v>1376</v>
      </c>
      <c r="T47" s="220" t="s">
        <v>697</v>
      </c>
      <c r="U47" s="220" t="s">
        <v>697</v>
      </c>
      <c r="V47" s="220" t="s">
        <v>698</v>
      </c>
      <c r="W47" s="220" t="s">
        <v>698</v>
      </c>
    </row>
    <row r="48" spans="2:23">
      <c r="B48" s="5" t="s">
        <v>223</v>
      </c>
      <c r="C48" s="142" t="s">
        <v>1377</v>
      </c>
      <c r="D48" s="164" t="s">
        <v>1378</v>
      </c>
      <c r="E48" s="9" t="s">
        <v>82</v>
      </c>
      <c r="F48" s="247" t="s">
        <v>1379</v>
      </c>
      <c r="G48" s="255" t="s">
        <v>1380</v>
      </c>
      <c r="H48" s="247" t="s">
        <v>699</v>
      </c>
      <c r="I48" s="255" t="s">
        <v>699</v>
      </c>
      <c r="J48" s="241" t="s">
        <v>700</v>
      </c>
      <c r="K48" s="9" t="s">
        <v>1381</v>
      </c>
      <c r="L48" s="247" t="s">
        <v>1379</v>
      </c>
      <c r="M48" s="247" t="s">
        <v>1379</v>
      </c>
      <c r="N48" s="241" t="s">
        <v>700</v>
      </c>
      <c r="O48" s="241" t="s">
        <v>700</v>
      </c>
      <c r="P48" s="241" t="s">
        <v>82</v>
      </c>
      <c r="Q48" s="241" t="s">
        <v>82</v>
      </c>
      <c r="R48" s="241" t="s">
        <v>82</v>
      </c>
      <c r="S48" s="241" t="s">
        <v>82</v>
      </c>
      <c r="T48" s="241" t="s">
        <v>82</v>
      </c>
      <c r="U48" s="241" t="s">
        <v>82</v>
      </c>
      <c r="V48" s="241" t="s">
        <v>82</v>
      </c>
      <c r="W48" s="241" t="s">
        <v>82</v>
      </c>
    </row>
    <row r="49" spans="2:23">
      <c r="B49" s="5" t="s">
        <v>701</v>
      </c>
      <c r="C49" s="142" t="s">
        <v>1382</v>
      </c>
      <c r="D49" s="164" t="s">
        <v>1382</v>
      </c>
      <c r="E49" s="9" t="s">
        <v>1383</v>
      </c>
      <c r="F49" s="247" t="s">
        <v>702</v>
      </c>
      <c r="G49" s="255" t="s">
        <v>702</v>
      </c>
      <c r="H49" s="247" t="s">
        <v>702</v>
      </c>
      <c r="I49" s="255" t="s">
        <v>702</v>
      </c>
      <c r="J49" s="241" t="s">
        <v>1384</v>
      </c>
      <c r="K49" s="9" t="s">
        <v>1383</v>
      </c>
      <c r="L49" s="247" t="s">
        <v>702</v>
      </c>
      <c r="M49" s="247" t="s">
        <v>702</v>
      </c>
      <c r="N49" s="241" t="s">
        <v>1384</v>
      </c>
      <c r="O49" s="241" t="s">
        <v>1384</v>
      </c>
      <c r="P49" s="241" t="s">
        <v>704</v>
      </c>
      <c r="Q49" s="241" t="s">
        <v>704</v>
      </c>
      <c r="R49" s="241" t="s">
        <v>1385</v>
      </c>
      <c r="S49" s="241" t="s">
        <v>1385</v>
      </c>
      <c r="T49" s="241" t="s">
        <v>704</v>
      </c>
      <c r="U49" s="241" t="s">
        <v>704</v>
      </c>
      <c r="V49" s="241" t="s">
        <v>705</v>
      </c>
      <c r="W49" s="241" t="s">
        <v>705</v>
      </c>
    </row>
    <row r="50" spans="2:23">
      <c r="B50" s="5"/>
      <c r="C50" s="132" t="s">
        <v>246</v>
      </c>
      <c r="D50" s="10"/>
      <c r="E50" s="10"/>
      <c r="F50" s="250" t="s">
        <v>246</v>
      </c>
      <c r="G50" s="250" t="s">
        <v>246</v>
      </c>
      <c r="H50" s="250" t="s">
        <v>246</v>
      </c>
      <c r="I50" s="250" t="s">
        <v>246</v>
      </c>
      <c r="J50" s="220"/>
      <c r="K50" s="10"/>
      <c r="L50" s="250" t="s">
        <v>246</v>
      </c>
      <c r="M50" s="250" t="s">
        <v>246</v>
      </c>
      <c r="N50" s="220"/>
      <c r="O50" s="220"/>
      <c r="P50" s="220"/>
      <c r="Q50" s="220"/>
      <c r="R50" s="220"/>
      <c r="S50" s="220"/>
      <c r="T50" s="220"/>
      <c r="U50" s="220"/>
      <c r="V50" s="220"/>
      <c r="W50" s="220"/>
    </row>
    <row r="51" spans="2:23" ht="27" customHeight="1">
      <c r="B51" s="8"/>
      <c r="C51" s="134" t="s">
        <v>246</v>
      </c>
      <c r="D51" s="22"/>
      <c r="E51" s="22"/>
      <c r="F51" s="251" t="s">
        <v>246</v>
      </c>
      <c r="G51" s="251" t="s">
        <v>246</v>
      </c>
      <c r="H51" s="251" t="s">
        <v>246</v>
      </c>
      <c r="I51" s="251" t="s">
        <v>246</v>
      </c>
      <c r="J51" s="242"/>
      <c r="K51" s="22"/>
      <c r="L51" s="251" t="s">
        <v>246</v>
      </c>
      <c r="M51" s="251" t="s">
        <v>246</v>
      </c>
      <c r="N51" s="242"/>
      <c r="O51" s="242"/>
      <c r="P51" s="242"/>
      <c r="Q51" s="242"/>
      <c r="R51" s="242"/>
      <c r="S51" s="242"/>
      <c r="T51" s="242"/>
      <c r="U51" s="242"/>
      <c r="V51" s="242"/>
      <c r="W51" s="242"/>
    </row>
    <row r="52" spans="2:23">
      <c r="B52" s="2"/>
      <c r="C52" s="135" t="s">
        <v>246</v>
      </c>
      <c r="D52" s="34"/>
      <c r="E52" s="34"/>
      <c r="F52" s="252" t="s">
        <v>246</v>
      </c>
      <c r="G52" s="252" t="s">
        <v>246</v>
      </c>
      <c r="H52" s="252" t="s">
        <v>246</v>
      </c>
      <c r="I52" s="252" t="s">
        <v>246</v>
      </c>
      <c r="J52" s="243"/>
      <c r="K52" s="34"/>
      <c r="L52" s="252" t="s">
        <v>246</v>
      </c>
      <c r="M52" s="252" t="s">
        <v>246</v>
      </c>
      <c r="N52" s="243"/>
      <c r="O52" s="243"/>
      <c r="P52" s="243"/>
      <c r="Q52" s="243"/>
      <c r="R52" s="243"/>
      <c r="S52" s="243"/>
      <c r="T52" s="243"/>
      <c r="U52" s="243"/>
      <c r="V52" s="243"/>
      <c r="W52" s="243"/>
    </row>
    <row r="53" spans="2:23">
      <c r="B53" s="12" t="s">
        <v>526</v>
      </c>
      <c r="C53" s="58">
        <v>45583</v>
      </c>
      <c r="D53" s="235">
        <v>45681</v>
      </c>
      <c r="E53" s="237">
        <v>45667</v>
      </c>
      <c r="F53" s="253">
        <v>45900</v>
      </c>
      <c r="G53" s="253">
        <v>45900</v>
      </c>
      <c r="H53" s="253" t="s">
        <v>1386</v>
      </c>
      <c r="I53" s="253" t="s">
        <v>1386</v>
      </c>
      <c r="J53" s="241" t="s">
        <v>1387</v>
      </c>
      <c r="K53" s="237" t="s">
        <v>1388</v>
      </c>
      <c r="L53" s="253">
        <v>45869</v>
      </c>
      <c r="M53" s="253">
        <v>45869</v>
      </c>
      <c r="N53" s="241" t="s">
        <v>1387</v>
      </c>
      <c r="O53" s="241" t="s">
        <v>1387</v>
      </c>
      <c r="P53" s="241" t="s">
        <v>1389</v>
      </c>
      <c r="Q53" s="241" t="s">
        <v>1389</v>
      </c>
      <c r="R53" s="241" t="s">
        <v>1389</v>
      </c>
      <c r="S53" s="241" t="s">
        <v>1389</v>
      </c>
      <c r="T53" s="257">
        <v>45900</v>
      </c>
      <c r="U53" s="257">
        <v>45930</v>
      </c>
      <c r="V53" s="257">
        <v>45900</v>
      </c>
      <c r="W53" s="257">
        <v>45930</v>
      </c>
    </row>
    <row r="54" spans="2:23">
      <c r="B54" s="12" t="s">
        <v>82</v>
      </c>
      <c r="C54" s="131" t="s">
        <v>246</v>
      </c>
      <c r="D54" s="236"/>
      <c r="E54" s="236"/>
      <c r="F54" s="254" t="s">
        <v>246</v>
      </c>
      <c r="G54" s="254" t="s">
        <v>246</v>
      </c>
      <c r="H54" s="254" t="s">
        <v>246</v>
      </c>
      <c r="I54" s="254" t="s">
        <v>246</v>
      </c>
      <c r="J54" s="242"/>
      <c r="K54" s="22" t="s">
        <v>82</v>
      </c>
      <c r="L54" s="254" t="s">
        <v>246</v>
      </c>
      <c r="M54" s="254" t="s">
        <v>246</v>
      </c>
      <c r="N54" s="242"/>
      <c r="O54" s="242"/>
      <c r="P54" s="242" t="s">
        <v>82</v>
      </c>
      <c r="Q54" s="242" t="s">
        <v>82</v>
      </c>
      <c r="R54" s="242" t="s">
        <v>82</v>
      </c>
      <c r="S54" s="242" t="s">
        <v>82</v>
      </c>
      <c r="T54" s="242" t="s">
        <v>82</v>
      </c>
      <c r="U54" s="242" t="s">
        <v>82</v>
      </c>
      <c r="V54" s="242" t="s">
        <v>82</v>
      </c>
      <c r="W54" s="242" t="s">
        <v>82</v>
      </c>
    </row>
    <row r="55" spans="2:23">
      <c r="B55" s="12" t="s">
        <v>710</v>
      </c>
      <c r="C55" s="131" t="s">
        <v>1390</v>
      </c>
      <c r="D55" s="131" t="s">
        <v>1390</v>
      </c>
      <c r="E55" s="131" t="s">
        <v>1391</v>
      </c>
      <c r="F55" s="249" t="s">
        <v>1392</v>
      </c>
      <c r="G55" s="249" t="s">
        <v>1392</v>
      </c>
      <c r="H55" s="249" t="s">
        <v>711</v>
      </c>
      <c r="I55" s="249" t="s">
        <v>711</v>
      </c>
      <c r="J55" s="242" t="s">
        <v>1393</v>
      </c>
      <c r="K55" s="22" t="s">
        <v>1394</v>
      </c>
      <c r="L55" s="249" t="s">
        <v>1392</v>
      </c>
      <c r="M55" s="249" t="s">
        <v>1392</v>
      </c>
      <c r="N55" s="242" t="s">
        <v>1393</v>
      </c>
      <c r="O55" s="242" t="s">
        <v>1393</v>
      </c>
      <c r="P55" s="242" t="s">
        <v>712</v>
      </c>
      <c r="Q55" s="242" t="s">
        <v>712</v>
      </c>
      <c r="R55" s="242" t="s">
        <v>712</v>
      </c>
      <c r="S55" s="242" t="s">
        <v>712</v>
      </c>
      <c r="T55" s="242" t="s">
        <v>712</v>
      </c>
      <c r="U55" s="242" t="s">
        <v>712</v>
      </c>
      <c r="V55" s="242" t="s">
        <v>712</v>
      </c>
      <c r="W55" s="242" t="s">
        <v>712</v>
      </c>
    </row>
    <row r="56" spans="2:23">
      <c r="B56" s="12"/>
      <c r="D56" s="236"/>
      <c r="E56" s="236"/>
      <c r="F56" s="236"/>
      <c r="G56" s="236"/>
      <c r="H56" s="236"/>
      <c r="I56" s="236"/>
      <c r="J56" s="38"/>
      <c r="K56" s="38"/>
      <c r="L56" s="256" t="s">
        <v>246</v>
      </c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</row>
    <row r="57" spans="2:23"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</row>
    <row r="58" spans="2:23" ht="15" customHeight="1">
      <c r="L58" s="4"/>
    </row>
  </sheetData>
  <protectedRanges>
    <protectedRange algorithmName="SHA-512" hashValue="BxxURwrs+SG6qhN+RUAXueBfOtSlbNGsztiTZRxyIoCs9tweWTGwzrICskAfbuUZFcd2/41dWl6f8q9oOv5RTw==" saltValue="mfTzTJb+jVS9+3uTRt0V/Q==" spinCount="100000" sqref="C9:C12 C29:C32 D40 C14 D29:D30 C17:C25 D20:D21 C34:C50 D36 D9 L46 L24 D11:W11 E30:W30 D24:J24 D46:J46 F29 H29" name="Range1_2" securityDescriptor="O:WDG:WDD:(A;;CC;;;S-1-5-21-2496373424-2134928991-926383051-63041)"/>
    <protectedRange algorithmName="SHA-512" hashValue="FFDl6+DQqly+UHQ4pISE5WlYWH27s79H8BUEJZgNEUSzbdeI8WUxAp2PG5D2CeD1oSy04vSZTMAEGPG+DxtI/A==" saltValue="X1CEYNaOApMatZTY9Hie9A==" spinCount="100000" sqref="C28" name="Range1_1_3_1" securityDescriptor="O:WDG:WDD:(A;;CC;;;S-1-5-21-2496373424-2134928991-926383051-63041)"/>
    <protectedRange algorithmName="SHA-512" hashValue="BxxURwrs+SG6qhN+RUAXueBfOtSlbNGsztiTZRxyIoCs9tweWTGwzrICskAfbuUZFcd2/41dWl6f8q9oOv5RTw==" saltValue="mfTzTJb+jVS9+3uTRt0V/Q==" spinCount="100000" sqref="D12 D31:D32 D34:D35 D47:D49 D28 D14:D15 D22:D23 D41:D45 D17:D19 D25:D26 D37:D39 L32 L34 L38 L17 E15:W15 E17:J17 E38:J38 E34:J34 E32:J32" name="Range1_3" securityDescriptor="O:WDG:WDD:(A;;CC;;;S-1-5-21-2496373424-2134928991-926383051-63041)"/>
    <protectedRange algorithmName="SHA-512" hashValue="BxxURwrs+SG6qhN+RUAXueBfOtSlbNGsztiTZRxyIoCs9tweWTGwzrICskAfbuUZFcd2/41dWl6f8q9oOv5RTw==" saltValue="mfTzTJb+jVS9+3uTRt0V/Q==" spinCount="100000" sqref="C13:D13 L47:L49 L33 L25:L29 L35:L37 L39:L45 L18:L23 L12:L14 N55:O55 P53:W53 K13 M13:W13 M25 M23 E53:M53 E12:J14 E18:J23 E39:J45 E35:J37 E25:J28 C33:J33 E47:J49 E29 G29 I29:J29" name="Range1_5" securityDescriptor="O:WDG:WDD:(A;;CC;;;S-1-5-21-2496373424-2134928991-926383051-63041)"/>
    <protectedRange algorithmName="SHA-512" hashValue="BxxURwrs+SG6qhN+RUAXueBfOtSlbNGsztiTZRxyIoCs9tweWTGwzrICskAfbuUZFcd2/41dWl6f8q9oOv5RTw==" saltValue="mfTzTJb+jVS9+3uTRt0V/Q==" spinCount="100000" sqref="C27" name="Range1_6" securityDescriptor="O:WDG:WDD:(A;;CC;;;S-1-5-21-2496373424-2134928991-926383051-63041)"/>
    <protectedRange algorithmName="SHA-512" hashValue="BxxURwrs+SG6qhN+RUAXueBfOtSlbNGsztiTZRxyIoCs9tweWTGwzrICskAfbuUZFcd2/41dWl6f8q9oOv5RTw==" saltValue="mfTzTJb+jVS9+3uTRt0V/Q==" spinCount="100000" sqref="D27" name="Range1_7" securityDescriptor="O:WDG:WDD:(A;;CC;;;S-1-5-21-2496373424-2134928991-926383051-63041)"/>
    <protectedRange algorithmName="SHA-512" hashValue="BxxURwrs+SG6qhN+RUAXueBfOtSlbNGsztiTZRxyIoCs9tweWTGwzrICskAfbuUZFcd2/41dWl6f8q9oOv5RTw==" saltValue="mfTzTJb+jVS9+3uTRt0V/Q==" spinCount="100000" sqref="N40:O53 M14:W14 M12:W12 M31:M51 M5:W6 P31:W51 N31:O37 M8:W10 P7:W7 K5:K10 K31:K51 K12 K14 K17:K29 M26:W29 N25:W25 M24:W24 N23:W23 M17:W22" name="Range1" securityDescriptor="O:WDG:WDD:(A;;CC;;;S-1-5-21-2496373424-2134928991-926383051-63041)"/>
  </protectedRanges>
  <phoneticPr fontId="10" type="noConversion"/>
  <pageMargins left="0.7" right="0.7" top="0.75" bottom="0.75" header="0.3" footer="0.3"/>
  <pageSetup paperSize="9" orientation="portrait" verticalDpi="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26668-8161-4348-AE64-BE2C388EF626}">
  <dimension ref="A1:N35"/>
  <sheetViews>
    <sheetView zoomScaleNormal="100" workbookViewId="0">
      <selection activeCell="O10" sqref="O10"/>
    </sheetView>
  </sheetViews>
  <sheetFormatPr defaultColWidth="9.08203125" defaultRowHeight="15"/>
  <cols>
    <col min="1" max="1" width="13.25" style="80" customWidth="1"/>
    <col min="2" max="2" width="10.5" style="80" customWidth="1"/>
    <col min="3" max="3" width="13.58203125" style="80" customWidth="1"/>
    <col min="4" max="4" width="60.83203125" style="80" hidden="1" customWidth="1"/>
    <col min="5" max="5" width="20.33203125" style="80" bestFit="1" customWidth="1"/>
    <col min="6" max="6" width="13.75" style="80" customWidth="1"/>
    <col min="7" max="7" width="12.5" style="80" customWidth="1"/>
    <col min="8" max="8" width="11.5" style="80" customWidth="1"/>
    <col min="9" max="9" width="26.83203125" style="80" customWidth="1"/>
    <col min="10" max="10" width="30.75" style="80" customWidth="1"/>
    <col min="11" max="11" width="36.75" style="80" customWidth="1"/>
    <col min="12" max="12" width="39" style="82" customWidth="1"/>
    <col min="13" max="13" width="25.58203125" style="82" customWidth="1"/>
    <col min="14" max="14" width="26.58203125" style="80" customWidth="1"/>
    <col min="15" max="16384" width="9.08203125" style="80"/>
  </cols>
  <sheetData>
    <row r="1" spans="1:14">
      <c r="A1" s="173" t="s">
        <v>1395</v>
      </c>
      <c r="B1" s="173" t="s">
        <v>1396</v>
      </c>
      <c r="C1" s="173" t="s">
        <v>1397</v>
      </c>
      <c r="D1" s="173" t="s">
        <v>1398</v>
      </c>
      <c r="E1" s="173" t="s">
        <v>599</v>
      </c>
      <c r="F1" s="173" t="s">
        <v>1399</v>
      </c>
      <c r="G1" s="173" t="s">
        <v>1400</v>
      </c>
      <c r="H1" s="173" t="s">
        <v>1401</v>
      </c>
      <c r="I1" s="173" t="s">
        <v>1402</v>
      </c>
      <c r="J1" s="173" t="s">
        <v>1403</v>
      </c>
      <c r="K1" s="173" t="s">
        <v>1404</v>
      </c>
      <c r="L1" s="203" t="s">
        <v>1405</v>
      </c>
      <c r="M1" s="222" t="s">
        <v>1406</v>
      </c>
      <c r="N1" s="172" t="s">
        <v>1407</v>
      </c>
    </row>
    <row r="2" spans="1:14" ht="46.5" customHeight="1">
      <c r="A2" s="490" t="s">
        <v>1408</v>
      </c>
      <c r="B2" s="186">
        <v>18</v>
      </c>
      <c r="C2" s="186" t="s">
        <v>1409</v>
      </c>
      <c r="D2" s="187" t="s">
        <v>1410</v>
      </c>
      <c r="E2" s="186" t="s">
        <v>1411</v>
      </c>
      <c r="F2" s="186" t="s">
        <v>1412</v>
      </c>
      <c r="G2" s="186" t="s">
        <v>1413</v>
      </c>
      <c r="H2" s="188" t="s">
        <v>1414</v>
      </c>
      <c r="I2" s="189" t="s">
        <v>1415</v>
      </c>
      <c r="J2" s="190" t="s">
        <v>1416</v>
      </c>
      <c r="K2" s="190" t="s">
        <v>20</v>
      </c>
      <c r="L2" s="190" t="s">
        <v>1417</v>
      </c>
      <c r="M2" s="231" t="s">
        <v>1418</v>
      </c>
    </row>
    <row r="3" spans="1:14" ht="21.75" customHeight="1">
      <c r="A3" s="490"/>
      <c r="B3" s="186">
        <v>16</v>
      </c>
      <c r="C3" s="186" t="s">
        <v>1409</v>
      </c>
      <c r="D3" s="187" t="s">
        <v>1410</v>
      </c>
      <c r="E3" s="186" t="s">
        <v>1419</v>
      </c>
      <c r="F3" s="186" t="s">
        <v>1420</v>
      </c>
      <c r="G3" s="186" t="s">
        <v>1421</v>
      </c>
      <c r="H3" s="188" t="s">
        <v>1414</v>
      </c>
      <c r="I3" s="189" t="s">
        <v>1415</v>
      </c>
      <c r="J3" s="190" t="s">
        <v>853</v>
      </c>
      <c r="K3" s="190" t="s">
        <v>1422</v>
      </c>
      <c r="L3" s="81">
        <v>45784</v>
      </c>
      <c r="M3" s="231" t="s">
        <v>1418</v>
      </c>
    </row>
    <row r="4" spans="1:14" ht="21.75" customHeight="1">
      <c r="A4" s="490" t="s">
        <v>1423</v>
      </c>
      <c r="B4" s="490">
        <v>18</v>
      </c>
      <c r="C4" s="174" t="s">
        <v>1409</v>
      </c>
      <c r="D4" s="175" t="s">
        <v>1424</v>
      </c>
      <c r="E4" s="490" t="s">
        <v>1425</v>
      </c>
      <c r="F4" s="490" t="s">
        <v>1426</v>
      </c>
      <c r="G4" s="490" t="s">
        <v>1413</v>
      </c>
      <c r="H4" s="489" t="s">
        <v>1414</v>
      </c>
      <c r="I4" s="494" t="s">
        <v>1415</v>
      </c>
      <c r="J4" s="493" t="s">
        <v>857</v>
      </c>
      <c r="K4" s="493" t="s">
        <v>253</v>
      </c>
      <c r="L4" s="495" t="s">
        <v>1427</v>
      </c>
      <c r="M4" s="228" t="s">
        <v>1428</v>
      </c>
    </row>
    <row r="5" spans="1:14" ht="21.75" customHeight="1">
      <c r="A5" s="490"/>
      <c r="B5" s="490"/>
      <c r="C5" s="174" t="s">
        <v>1429</v>
      </c>
      <c r="D5" s="175" t="s">
        <v>1430</v>
      </c>
      <c r="E5" s="490"/>
      <c r="F5" s="490"/>
      <c r="G5" s="490"/>
      <c r="H5" s="489"/>
      <c r="I5" s="494"/>
      <c r="J5" s="493"/>
      <c r="K5" s="493"/>
      <c r="L5" s="476"/>
      <c r="M5" s="228"/>
    </row>
    <row r="6" spans="1:14" ht="21.75" customHeight="1">
      <c r="A6" s="490"/>
      <c r="B6" s="490">
        <v>16</v>
      </c>
      <c r="C6" s="174" t="s">
        <v>1409</v>
      </c>
      <c r="D6" s="175" t="s">
        <v>1431</v>
      </c>
      <c r="E6" s="490" t="s">
        <v>1432</v>
      </c>
      <c r="F6" s="490" t="s">
        <v>1433</v>
      </c>
      <c r="G6" s="490" t="s">
        <v>1421</v>
      </c>
      <c r="H6" s="489" t="s">
        <v>1414</v>
      </c>
      <c r="I6" s="494" t="s">
        <v>1415</v>
      </c>
      <c r="J6" s="493" t="s">
        <v>856</v>
      </c>
      <c r="K6" s="493" t="s">
        <v>251</v>
      </c>
      <c r="L6" s="495" t="s">
        <v>1434</v>
      </c>
      <c r="M6" s="228" t="s">
        <v>1428</v>
      </c>
    </row>
    <row r="7" spans="1:14" ht="21.75" customHeight="1">
      <c r="A7" s="490"/>
      <c r="B7" s="490"/>
      <c r="C7" s="174" t="s">
        <v>1429</v>
      </c>
      <c r="D7" s="175" t="s">
        <v>1430</v>
      </c>
      <c r="E7" s="490"/>
      <c r="F7" s="490"/>
      <c r="G7" s="490"/>
      <c r="H7" s="489"/>
      <c r="I7" s="494"/>
      <c r="J7" s="493"/>
      <c r="K7" s="493"/>
      <c r="L7" s="476"/>
      <c r="M7" s="223"/>
      <c r="N7" s="80" t="s">
        <v>1435</v>
      </c>
    </row>
    <row r="8" spans="1:14" ht="44.15" customHeight="1">
      <c r="A8" s="490"/>
      <c r="B8" s="191" t="s">
        <v>1436</v>
      </c>
      <c r="C8" s="186" t="s">
        <v>1437</v>
      </c>
      <c r="D8" s="187" t="s">
        <v>1438</v>
      </c>
      <c r="E8" s="191" t="s">
        <v>1439</v>
      </c>
      <c r="F8" s="191" t="s">
        <v>1440</v>
      </c>
      <c r="G8" s="191" t="s">
        <v>1441</v>
      </c>
      <c r="H8" s="188" t="s">
        <v>1414</v>
      </c>
      <c r="I8" s="190" t="s">
        <v>1415</v>
      </c>
      <c r="J8" s="190" t="s">
        <v>858</v>
      </c>
      <c r="K8" s="190" t="s">
        <v>50</v>
      </c>
      <c r="L8" s="204" t="s">
        <v>1442</v>
      </c>
      <c r="M8" s="231" t="s">
        <v>1418</v>
      </c>
      <c r="N8" s="80" t="s">
        <v>1443</v>
      </c>
    </row>
    <row r="9" spans="1:14" ht="21.65" customHeight="1">
      <c r="A9" s="490"/>
      <c r="B9" s="174">
        <v>14.5</v>
      </c>
      <c r="C9" s="174" t="s">
        <v>1429</v>
      </c>
      <c r="D9" s="175" t="s">
        <v>1438</v>
      </c>
      <c r="E9" s="174" t="s">
        <v>1444</v>
      </c>
      <c r="F9" s="174" t="s">
        <v>1445</v>
      </c>
      <c r="G9" s="174" t="s">
        <v>1421</v>
      </c>
      <c r="H9" s="173" t="s">
        <v>1446</v>
      </c>
      <c r="I9" s="176" t="s">
        <v>1447</v>
      </c>
      <c r="J9" s="177" t="s">
        <v>1448</v>
      </c>
      <c r="K9" s="177" t="s">
        <v>1449</v>
      </c>
      <c r="L9" s="81">
        <v>45806</v>
      </c>
      <c r="M9" s="233" t="s">
        <v>1450</v>
      </c>
      <c r="N9" s="80" t="s">
        <v>1451</v>
      </c>
    </row>
    <row r="10" spans="1:14" ht="21.75" customHeight="1">
      <c r="A10" s="174" t="s">
        <v>1452</v>
      </c>
      <c r="B10" s="174">
        <v>14.5</v>
      </c>
      <c r="C10" s="174" t="s">
        <v>1429</v>
      </c>
      <c r="D10" s="175" t="s">
        <v>1438</v>
      </c>
      <c r="E10" s="174" t="s">
        <v>1453</v>
      </c>
      <c r="F10" s="174" t="s">
        <v>1433</v>
      </c>
      <c r="G10" s="174" t="s">
        <v>1441</v>
      </c>
      <c r="H10" s="173" t="s">
        <v>1414</v>
      </c>
      <c r="I10" s="176" t="s">
        <v>1454</v>
      </c>
      <c r="J10" s="177" t="s">
        <v>859</v>
      </c>
      <c r="K10" s="177" t="s">
        <v>1455</v>
      </c>
      <c r="L10" s="81">
        <v>45869</v>
      </c>
      <c r="M10" s="233" t="s">
        <v>1450</v>
      </c>
      <c r="N10" s="80" t="s">
        <v>1456</v>
      </c>
    </row>
    <row r="11" spans="1:14" ht="21.75" hidden="1" customHeight="1">
      <c r="A11" s="179" t="s">
        <v>1457</v>
      </c>
      <c r="B11" s="179">
        <v>16</v>
      </c>
      <c r="C11" s="179" t="s">
        <v>1429</v>
      </c>
      <c r="D11" s="180" t="s">
        <v>1438</v>
      </c>
      <c r="E11" s="179" t="s">
        <v>1458</v>
      </c>
      <c r="F11" s="179" t="s">
        <v>1459</v>
      </c>
      <c r="G11" s="179" t="s">
        <v>1441</v>
      </c>
      <c r="H11" s="181" t="s">
        <v>1446</v>
      </c>
      <c r="I11" s="182" t="s">
        <v>1447</v>
      </c>
      <c r="J11" s="183" t="s">
        <v>1460</v>
      </c>
      <c r="K11" s="183" t="s">
        <v>1461</v>
      </c>
      <c r="L11" s="185">
        <v>45800</v>
      </c>
      <c r="M11" s="225"/>
      <c r="N11" s="80" t="s">
        <v>1462</v>
      </c>
    </row>
    <row r="12" spans="1:14" ht="30.75" hidden="1" customHeight="1">
      <c r="A12" s="490" t="s">
        <v>1463</v>
      </c>
      <c r="B12" s="490">
        <v>16</v>
      </c>
      <c r="C12" s="179" t="s">
        <v>1464</v>
      </c>
      <c r="D12" s="180" t="s">
        <v>1438</v>
      </c>
      <c r="E12" s="179" t="s">
        <v>1465</v>
      </c>
      <c r="F12" s="179" t="s">
        <v>1420</v>
      </c>
      <c r="G12" s="179" t="s">
        <v>1441</v>
      </c>
      <c r="H12" s="181" t="s">
        <v>1414</v>
      </c>
      <c r="I12" s="182" t="s">
        <v>1415</v>
      </c>
      <c r="J12" s="183" t="s">
        <v>1466</v>
      </c>
      <c r="K12" s="183" t="s">
        <v>70</v>
      </c>
      <c r="L12" s="81" t="s">
        <v>1462</v>
      </c>
      <c r="M12" s="223"/>
    </row>
    <row r="13" spans="1:14" ht="30.75" customHeight="1">
      <c r="A13" s="490"/>
      <c r="B13" s="490"/>
      <c r="C13" s="174" t="s">
        <v>1467</v>
      </c>
      <c r="D13" s="175" t="s">
        <v>1438</v>
      </c>
      <c r="E13" s="174" t="s">
        <v>1468</v>
      </c>
      <c r="F13" s="174" t="s">
        <v>1469</v>
      </c>
      <c r="G13" s="174" t="s">
        <v>1441</v>
      </c>
      <c r="H13" s="173" t="s">
        <v>1414</v>
      </c>
      <c r="I13" s="176" t="s">
        <v>1470</v>
      </c>
      <c r="J13" s="177" t="s">
        <v>1471</v>
      </c>
      <c r="K13" s="177" t="s">
        <v>70</v>
      </c>
      <c r="L13" s="202" t="s">
        <v>1472</v>
      </c>
      <c r="M13" s="229" t="s">
        <v>1473</v>
      </c>
      <c r="N13" s="80" t="s">
        <v>108</v>
      </c>
    </row>
    <row r="14" spans="1:14" ht="30.75" customHeight="1">
      <c r="A14" s="490"/>
      <c r="B14" s="178" t="s">
        <v>1436</v>
      </c>
      <c r="C14" s="174" t="s">
        <v>1467</v>
      </c>
      <c r="D14" s="175" t="s">
        <v>1430</v>
      </c>
      <c r="E14" s="174" t="s">
        <v>1474</v>
      </c>
      <c r="F14" s="174" t="s">
        <v>1469</v>
      </c>
      <c r="G14" s="174" t="s">
        <v>1413</v>
      </c>
      <c r="H14" s="173" t="s">
        <v>1414</v>
      </c>
      <c r="I14" s="176" t="s">
        <v>1470</v>
      </c>
      <c r="J14" s="177" t="s">
        <v>1475</v>
      </c>
      <c r="K14" s="177" t="s">
        <v>1476</v>
      </c>
      <c r="L14" s="202" t="s">
        <v>1477</v>
      </c>
      <c r="M14" s="229" t="s">
        <v>1473</v>
      </c>
      <c r="N14" s="80" t="s">
        <v>1478</v>
      </c>
    </row>
    <row r="15" spans="1:14" ht="30.75" hidden="1" customHeight="1">
      <c r="A15" s="490"/>
      <c r="B15" s="490">
        <v>18</v>
      </c>
      <c r="C15" s="179" t="s">
        <v>1464</v>
      </c>
      <c r="D15" s="180" t="s">
        <v>1438</v>
      </c>
      <c r="E15" s="179" t="s">
        <v>1479</v>
      </c>
      <c r="F15" s="179" t="s">
        <v>1412</v>
      </c>
      <c r="G15" s="179"/>
      <c r="H15" s="181" t="s">
        <v>1414</v>
      </c>
      <c r="I15" s="182" t="s">
        <v>1415</v>
      </c>
      <c r="J15" s="183" t="s">
        <v>1480</v>
      </c>
      <c r="K15" s="177" t="s">
        <v>1481</v>
      </c>
      <c r="L15" s="81" t="s">
        <v>1462</v>
      </c>
      <c r="M15" s="229" t="s">
        <v>1473</v>
      </c>
    </row>
    <row r="16" spans="1:14" ht="30.75" customHeight="1">
      <c r="A16" s="490"/>
      <c r="B16" s="490"/>
      <c r="C16" s="174" t="s">
        <v>1467</v>
      </c>
      <c r="D16" s="175" t="s">
        <v>1430</v>
      </c>
      <c r="E16" s="174" t="s">
        <v>1482</v>
      </c>
      <c r="F16" s="174" t="s">
        <v>1459</v>
      </c>
      <c r="G16" s="174" t="s">
        <v>1441</v>
      </c>
      <c r="H16" s="173" t="s">
        <v>1414</v>
      </c>
      <c r="I16" s="176" t="s">
        <v>1470</v>
      </c>
      <c r="J16" s="177" t="s">
        <v>863</v>
      </c>
      <c r="K16" s="177" t="s">
        <v>1481</v>
      </c>
      <c r="L16" s="202" t="s">
        <v>1483</v>
      </c>
      <c r="M16" s="229" t="s">
        <v>1473</v>
      </c>
    </row>
    <row r="17" spans="1:14" ht="21.75" hidden="1" customHeight="1">
      <c r="A17" s="482" t="s">
        <v>81</v>
      </c>
      <c r="B17" s="475">
        <v>17</v>
      </c>
      <c r="C17" s="192" t="s">
        <v>1464</v>
      </c>
      <c r="D17" s="187" t="s">
        <v>1438</v>
      </c>
      <c r="E17" s="486" t="s">
        <v>1484</v>
      </c>
      <c r="F17" s="486" t="s">
        <v>1426</v>
      </c>
      <c r="G17" s="486"/>
      <c r="H17" s="487" t="s">
        <v>1414</v>
      </c>
      <c r="I17" s="492" t="s">
        <v>1485</v>
      </c>
      <c r="J17" s="491" t="s">
        <v>1486</v>
      </c>
      <c r="K17" s="190" t="s">
        <v>1487</v>
      </c>
      <c r="L17" s="476" t="s">
        <v>1462</v>
      </c>
      <c r="M17" s="230"/>
    </row>
    <row r="18" spans="1:14" ht="21.75" hidden="1" customHeight="1">
      <c r="A18" s="483"/>
      <c r="B18" s="475"/>
      <c r="C18" s="192" t="s">
        <v>1488</v>
      </c>
      <c r="D18" s="187" t="s">
        <v>1489</v>
      </c>
      <c r="E18" s="486"/>
      <c r="F18" s="486"/>
      <c r="G18" s="486"/>
      <c r="H18" s="487"/>
      <c r="I18" s="492"/>
      <c r="J18" s="491"/>
      <c r="K18" s="190"/>
      <c r="L18" s="476"/>
      <c r="M18" s="230"/>
    </row>
    <row r="19" spans="1:14" ht="21.75" customHeight="1">
      <c r="A19" s="483"/>
      <c r="B19" s="475"/>
      <c r="C19" s="174" t="s">
        <v>1490</v>
      </c>
      <c r="D19" s="187" t="s">
        <v>1438</v>
      </c>
      <c r="E19" s="475" t="s">
        <v>1491</v>
      </c>
      <c r="F19" s="475" t="s">
        <v>1459</v>
      </c>
      <c r="G19" s="475" t="s">
        <v>1413</v>
      </c>
      <c r="H19" s="488" t="s">
        <v>1446</v>
      </c>
      <c r="I19" s="480" t="s">
        <v>1492</v>
      </c>
      <c r="J19" s="479" t="s">
        <v>1493</v>
      </c>
      <c r="K19" s="466" t="s">
        <v>1494</v>
      </c>
      <c r="L19" s="496" t="s">
        <v>1495</v>
      </c>
      <c r="M19" s="229" t="s">
        <v>1473</v>
      </c>
      <c r="N19" s="80" t="s">
        <v>108</v>
      </c>
    </row>
    <row r="20" spans="1:14" ht="21.75" customHeight="1">
      <c r="A20" s="483"/>
      <c r="B20" s="475"/>
      <c r="C20" s="186" t="s">
        <v>1496</v>
      </c>
      <c r="D20" s="187" t="s">
        <v>1489</v>
      </c>
      <c r="E20" s="475"/>
      <c r="F20" s="475"/>
      <c r="G20" s="475"/>
      <c r="H20" s="488"/>
      <c r="I20" s="480"/>
      <c r="J20" s="479"/>
      <c r="K20" s="467"/>
      <c r="L20" s="497"/>
      <c r="M20" s="224"/>
    </row>
    <row r="21" spans="1:14" ht="21.75" customHeight="1">
      <c r="A21" s="483"/>
      <c r="B21" s="475">
        <v>16</v>
      </c>
      <c r="C21" s="174" t="s">
        <v>1464</v>
      </c>
      <c r="D21" s="187" t="s">
        <v>1438</v>
      </c>
      <c r="E21" s="490" t="s">
        <v>1497</v>
      </c>
      <c r="F21" s="490" t="s">
        <v>1445</v>
      </c>
      <c r="G21" s="490" t="s">
        <v>1421</v>
      </c>
      <c r="H21" s="489" t="s">
        <v>1414</v>
      </c>
      <c r="I21" s="474" t="s">
        <v>1485</v>
      </c>
      <c r="J21" s="493" t="s">
        <v>1498</v>
      </c>
      <c r="K21" s="468" t="s">
        <v>1499</v>
      </c>
      <c r="L21" s="81" t="s">
        <v>1500</v>
      </c>
      <c r="M21" s="232" t="s">
        <v>1501</v>
      </c>
      <c r="N21" s="80" t="s">
        <v>79</v>
      </c>
    </row>
    <row r="22" spans="1:14" ht="30" customHeight="1">
      <c r="A22" s="483"/>
      <c r="B22" s="475"/>
      <c r="C22" s="194" t="s">
        <v>1502</v>
      </c>
      <c r="D22" s="187" t="s">
        <v>1503</v>
      </c>
      <c r="E22" s="490"/>
      <c r="F22" s="490"/>
      <c r="G22" s="490"/>
      <c r="H22" s="489"/>
      <c r="I22" s="474"/>
      <c r="J22" s="493"/>
      <c r="K22" s="469"/>
      <c r="L22" s="81"/>
      <c r="M22" s="223"/>
      <c r="N22" s="80" t="s">
        <v>1504</v>
      </c>
    </row>
    <row r="23" spans="1:14" ht="21.75" customHeight="1">
      <c r="A23" s="483"/>
      <c r="B23" s="475"/>
      <c r="C23" s="174" t="s">
        <v>1490</v>
      </c>
      <c r="D23" s="187" t="s">
        <v>1438</v>
      </c>
      <c r="E23" s="475" t="s">
        <v>1505</v>
      </c>
      <c r="F23" s="475" t="s">
        <v>1469</v>
      </c>
      <c r="G23" s="475" t="s">
        <v>1421</v>
      </c>
      <c r="H23" s="488" t="s">
        <v>1446</v>
      </c>
      <c r="I23" s="480" t="s">
        <v>1506</v>
      </c>
      <c r="J23" s="479" t="s">
        <v>1507</v>
      </c>
      <c r="K23" s="466" t="s">
        <v>1508</v>
      </c>
      <c r="L23" s="498" t="s">
        <v>1509</v>
      </c>
      <c r="M23" s="229" t="s">
        <v>1473</v>
      </c>
      <c r="N23" s="80" t="s">
        <v>80</v>
      </c>
    </row>
    <row r="24" spans="1:14" ht="21.75" customHeight="1">
      <c r="A24" s="483"/>
      <c r="B24" s="475"/>
      <c r="C24" s="186" t="s">
        <v>1496</v>
      </c>
      <c r="D24" s="187" t="s">
        <v>1489</v>
      </c>
      <c r="E24" s="475"/>
      <c r="F24" s="475"/>
      <c r="G24" s="475"/>
      <c r="H24" s="488"/>
      <c r="I24" s="480"/>
      <c r="J24" s="479"/>
      <c r="K24" s="467"/>
      <c r="L24" s="499"/>
      <c r="M24" s="226" t="s">
        <v>52</v>
      </c>
    </row>
    <row r="25" spans="1:14" ht="21.75" customHeight="1">
      <c r="A25" s="483"/>
      <c r="B25" s="482" t="s">
        <v>1436</v>
      </c>
      <c r="C25" s="174" t="s">
        <v>1510</v>
      </c>
      <c r="D25" s="175" t="s">
        <v>1511</v>
      </c>
      <c r="E25" s="174" t="s">
        <v>1512</v>
      </c>
      <c r="F25" s="174" t="s">
        <v>1420</v>
      </c>
      <c r="G25" s="174"/>
      <c r="H25" s="173"/>
      <c r="I25" s="184" t="s">
        <v>1513</v>
      </c>
      <c r="J25" s="177" t="s">
        <v>1514</v>
      </c>
      <c r="K25" s="177" t="s">
        <v>1515</v>
      </c>
      <c r="L25" s="81">
        <v>45817</v>
      </c>
      <c r="M25" s="232" t="s">
        <v>1501</v>
      </c>
      <c r="N25" s="80" t="s">
        <v>1478</v>
      </c>
    </row>
    <row r="26" spans="1:14" ht="53.5" customHeight="1">
      <c r="A26" s="483"/>
      <c r="B26" s="484"/>
      <c r="C26" s="174" t="s">
        <v>1510</v>
      </c>
      <c r="D26" s="175" t="s">
        <v>1511</v>
      </c>
      <c r="E26" s="174" t="s">
        <v>1516</v>
      </c>
      <c r="F26" s="174" t="s">
        <v>1469</v>
      </c>
      <c r="G26" s="174"/>
      <c r="H26" s="173"/>
      <c r="I26" s="184" t="s">
        <v>1517</v>
      </c>
      <c r="J26" s="177" t="s">
        <v>1518</v>
      </c>
      <c r="K26" s="177" t="s">
        <v>257</v>
      </c>
      <c r="L26" s="81">
        <v>45835</v>
      </c>
      <c r="M26" s="229" t="s">
        <v>1473</v>
      </c>
      <c r="N26" s="80" t="s">
        <v>1478</v>
      </c>
    </row>
    <row r="27" spans="1:14" ht="21.75" customHeight="1">
      <c r="A27" s="483"/>
      <c r="B27" s="475">
        <v>15</v>
      </c>
      <c r="C27" s="186" t="s">
        <v>1519</v>
      </c>
      <c r="D27" s="187" t="s">
        <v>1489</v>
      </c>
      <c r="E27" s="186" t="s">
        <v>891</v>
      </c>
      <c r="F27" s="475" t="s">
        <v>1469</v>
      </c>
      <c r="G27" s="475" t="s">
        <v>1413</v>
      </c>
      <c r="H27" s="488" t="s">
        <v>1414</v>
      </c>
      <c r="I27" s="187" t="s">
        <v>1513</v>
      </c>
      <c r="J27" s="190" t="s">
        <v>1520</v>
      </c>
      <c r="K27" s="190" t="s">
        <v>111</v>
      </c>
      <c r="L27" s="205">
        <v>45632</v>
      </c>
      <c r="M27" s="226" t="s">
        <v>52</v>
      </c>
      <c r="N27" s="80" t="s">
        <v>1478</v>
      </c>
    </row>
    <row r="28" spans="1:14" ht="21.75" customHeight="1">
      <c r="A28" s="483"/>
      <c r="B28" s="475"/>
      <c r="C28" s="174" t="s">
        <v>1521</v>
      </c>
      <c r="D28" s="187" t="s">
        <v>1430</v>
      </c>
      <c r="E28" s="470" t="s">
        <v>1522</v>
      </c>
      <c r="F28" s="475"/>
      <c r="G28" s="475"/>
      <c r="H28" s="488"/>
      <c r="I28" s="472" t="s">
        <v>1523</v>
      </c>
      <c r="J28" s="466" t="s">
        <v>1524</v>
      </c>
      <c r="K28" s="466" t="s">
        <v>1525</v>
      </c>
      <c r="L28" s="206">
        <v>45834</v>
      </c>
      <c r="M28" s="229" t="s">
        <v>1473</v>
      </c>
      <c r="N28" s="80" t="s">
        <v>1478</v>
      </c>
    </row>
    <row r="29" spans="1:14" ht="21.75" customHeight="1">
      <c r="A29" s="483"/>
      <c r="B29" s="475"/>
      <c r="C29" s="186" t="s">
        <v>1526</v>
      </c>
      <c r="D29" s="187" t="s">
        <v>1527</v>
      </c>
      <c r="E29" s="471"/>
      <c r="F29" s="475"/>
      <c r="G29" s="475"/>
      <c r="H29" s="488"/>
      <c r="I29" s="473"/>
      <c r="J29" s="467"/>
      <c r="K29" s="467"/>
      <c r="L29" s="205">
        <v>45635</v>
      </c>
      <c r="M29" s="226" t="s">
        <v>52</v>
      </c>
    </row>
    <row r="30" spans="1:14" ht="21.75" customHeight="1">
      <c r="A30" s="483"/>
      <c r="B30" s="475">
        <v>14.5</v>
      </c>
      <c r="C30" s="179" t="s">
        <v>1464</v>
      </c>
      <c r="D30" s="180" t="s">
        <v>1438</v>
      </c>
      <c r="E30" s="481" t="s">
        <v>1528</v>
      </c>
      <c r="F30" s="481" t="s">
        <v>1529</v>
      </c>
      <c r="G30" s="481" t="s">
        <v>1421</v>
      </c>
      <c r="H30" s="485" t="s">
        <v>1530</v>
      </c>
      <c r="I30" s="477" t="s">
        <v>1513</v>
      </c>
      <c r="J30" s="478" t="s">
        <v>864</v>
      </c>
      <c r="K30" s="478" t="s">
        <v>1531</v>
      </c>
      <c r="L30" s="201"/>
      <c r="M30" s="227"/>
    </row>
    <row r="31" spans="1:14" ht="21.75" customHeight="1">
      <c r="A31" s="483"/>
      <c r="B31" s="475"/>
      <c r="C31" s="179" t="s">
        <v>1488</v>
      </c>
      <c r="D31" s="180" t="s">
        <v>1489</v>
      </c>
      <c r="E31" s="481"/>
      <c r="F31" s="481"/>
      <c r="G31" s="481"/>
      <c r="H31" s="485"/>
      <c r="I31" s="477"/>
      <c r="J31" s="478"/>
      <c r="K31" s="478"/>
      <c r="L31" s="201"/>
      <c r="M31" s="227"/>
    </row>
    <row r="32" spans="1:14" ht="21.75" customHeight="1">
      <c r="A32" s="483"/>
      <c r="B32" s="475"/>
      <c r="C32" s="174" t="s">
        <v>1490</v>
      </c>
      <c r="D32" s="187" t="s">
        <v>1438</v>
      </c>
      <c r="E32" s="475" t="s">
        <v>1532</v>
      </c>
      <c r="F32" s="475" t="s">
        <v>1533</v>
      </c>
      <c r="G32" s="475" t="s">
        <v>1441</v>
      </c>
      <c r="H32" s="488" t="s">
        <v>1530</v>
      </c>
      <c r="I32" s="480" t="s">
        <v>1492</v>
      </c>
      <c r="J32" s="479" t="s">
        <v>1534</v>
      </c>
      <c r="K32" s="479" t="s">
        <v>1535</v>
      </c>
      <c r="L32" s="498" t="s">
        <v>1536</v>
      </c>
      <c r="M32" s="229" t="s">
        <v>1473</v>
      </c>
      <c r="N32" s="80" t="s">
        <v>108</v>
      </c>
    </row>
    <row r="33" spans="1:13" ht="35.25" customHeight="1">
      <c r="A33" s="483"/>
      <c r="B33" s="475"/>
      <c r="C33" s="186" t="s">
        <v>1496</v>
      </c>
      <c r="D33" s="187" t="s">
        <v>1489</v>
      </c>
      <c r="E33" s="475"/>
      <c r="F33" s="475"/>
      <c r="G33" s="475"/>
      <c r="H33" s="488"/>
      <c r="I33" s="480"/>
      <c r="J33" s="479"/>
      <c r="K33" s="479"/>
      <c r="L33" s="499"/>
      <c r="M33" s="226" t="s">
        <v>52</v>
      </c>
    </row>
    <row r="34" spans="1:13" ht="21.75" hidden="1" customHeight="1">
      <c r="A34" s="483"/>
      <c r="B34" s="481" t="s">
        <v>1537</v>
      </c>
      <c r="C34" s="179" t="s">
        <v>1521</v>
      </c>
      <c r="D34" s="180" t="s">
        <v>1438</v>
      </c>
      <c r="E34" s="179" t="s">
        <v>1538</v>
      </c>
      <c r="F34" s="481" t="s">
        <v>1533</v>
      </c>
      <c r="G34" s="481" t="s">
        <v>1441</v>
      </c>
      <c r="H34" s="485" t="s">
        <v>1530</v>
      </c>
      <c r="I34" s="183" t="s">
        <v>1513</v>
      </c>
      <c r="J34" s="183" t="s">
        <v>873</v>
      </c>
      <c r="K34" s="183" t="s">
        <v>1539</v>
      </c>
      <c r="L34" s="476"/>
      <c r="M34" s="223"/>
    </row>
    <row r="35" spans="1:13" ht="21.75" hidden="1" customHeight="1">
      <c r="A35" s="484"/>
      <c r="B35" s="481"/>
      <c r="C35" s="179" t="s">
        <v>1496</v>
      </c>
      <c r="D35" s="180" t="s">
        <v>1489</v>
      </c>
      <c r="E35" s="179" t="s">
        <v>1540</v>
      </c>
      <c r="F35" s="481"/>
      <c r="G35" s="481"/>
      <c r="H35" s="485"/>
      <c r="I35" s="183" t="s">
        <v>1517</v>
      </c>
      <c r="J35" s="183" t="s">
        <v>874</v>
      </c>
      <c r="K35" s="183" t="s">
        <v>1541</v>
      </c>
      <c r="L35" s="476"/>
      <c r="M35" s="223"/>
    </row>
  </sheetData>
  <mergeCells count="86">
    <mergeCell ref="L17:L18"/>
    <mergeCell ref="L4:L5"/>
    <mergeCell ref="L6:L7"/>
    <mergeCell ref="L19:L20"/>
    <mergeCell ref="L32:L33"/>
    <mergeCell ref="L23:L24"/>
    <mergeCell ref="A2:A3"/>
    <mergeCell ref="A4:A9"/>
    <mergeCell ref="B4:B5"/>
    <mergeCell ref="E4:E5"/>
    <mergeCell ref="A12:A16"/>
    <mergeCell ref="B12:B13"/>
    <mergeCell ref="B15:B16"/>
    <mergeCell ref="B6:B7"/>
    <mergeCell ref="E6:E7"/>
    <mergeCell ref="I6:I7"/>
    <mergeCell ref="J6:J7"/>
    <mergeCell ref="K6:K7"/>
    <mergeCell ref="F4:F5"/>
    <mergeCell ref="H4:H5"/>
    <mergeCell ref="I4:I5"/>
    <mergeCell ref="H6:H7"/>
    <mergeCell ref="G4:G5"/>
    <mergeCell ref="G6:G7"/>
    <mergeCell ref="J4:J5"/>
    <mergeCell ref="K4:K5"/>
    <mergeCell ref="F6:F7"/>
    <mergeCell ref="J17:J18"/>
    <mergeCell ref="J19:J20"/>
    <mergeCell ref="I17:I18"/>
    <mergeCell ref="I19:I20"/>
    <mergeCell ref="B25:B26"/>
    <mergeCell ref="J23:J24"/>
    <mergeCell ref="I23:I24"/>
    <mergeCell ref="J21:J22"/>
    <mergeCell ref="B17:B20"/>
    <mergeCell ref="E17:E18"/>
    <mergeCell ref="F19:F20"/>
    <mergeCell ref="H19:H20"/>
    <mergeCell ref="B21:B24"/>
    <mergeCell ref="E21:E22"/>
    <mergeCell ref="F21:F22"/>
    <mergeCell ref="H23:H24"/>
    <mergeCell ref="E32:E33"/>
    <mergeCell ref="F32:F33"/>
    <mergeCell ref="F27:F29"/>
    <mergeCell ref="G27:G29"/>
    <mergeCell ref="H21:H22"/>
    <mergeCell ref="G30:G31"/>
    <mergeCell ref="G32:G33"/>
    <mergeCell ref="G21:G22"/>
    <mergeCell ref="G23:G24"/>
    <mergeCell ref="H32:H33"/>
    <mergeCell ref="B34:B35"/>
    <mergeCell ref="A17:A35"/>
    <mergeCell ref="F34:F35"/>
    <mergeCell ref="G34:G35"/>
    <mergeCell ref="H34:H35"/>
    <mergeCell ref="B30:B33"/>
    <mergeCell ref="E30:E31"/>
    <mergeCell ref="F30:F31"/>
    <mergeCell ref="G19:G20"/>
    <mergeCell ref="G17:G18"/>
    <mergeCell ref="E19:E20"/>
    <mergeCell ref="F17:F18"/>
    <mergeCell ref="H17:H18"/>
    <mergeCell ref="H27:H29"/>
    <mergeCell ref="H30:H31"/>
    <mergeCell ref="B27:B29"/>
    <mergeCell ref="L34:L35"/>
    <mergeCell ref="I30:I31"/>
    <mergeCell ref="K30:K31"/>
    <mergeCell ref="J32:J33"/>
    <mergeCell ref="K32:K33"/>
    <mergeCell ref="J30:J31"/>
    <mergeCell ref="I32:I33"/>
    <mergeCell ref="K19:K20"/>
    <mergeCell ref="K21:K22"/>
    <mergeCell ref="K23:K24"/>
    <mergeCell ref="E28:E29"/>
    <mergeCell ref="I28:I29"/>
    <mergeCell ref="K28:K29"/>
    <mergeCell ref="J28:J29"/>
    <mergeCell ref="I21:I22"/>
    <mergeCell ref="E23:E24"/>
    <mergeCell ref="F23:F24"/>
  </mergeCells>
  <phoneticPr fontId="10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BFA17-B409-46FA-AE82-C2F8068640FF}">
  <dimension ref="B1:T80"/>
  <sheetViews>
    <sheetView zoomScale="70" zoomScaleNormal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E40" sqref="E40"/>
    </sheetView>
  </sheetViews>
  <sheetFormatPr defaultColWidth="9" defaultRowHeight="15"/>
  <cols>
    <col min="1" max="1" width="3.5" style="1" customWidth="1"/>
    <col min="2" max="2" width="62.5" style="1" customWidth="1"/>
    <col min="3" max="3" width="78.25" style="1" customWidth="1"/>
    <col min="4" max="4" width="78.75" style="4" bestFit="1" customWidth="1"/>
    <col min="5" max="5" width="76" style="4" bestFit="1" customWidth="1"/>
    <col min="6" max="6" width="78.75" style="4" bestFit="1" customWidth="1"/>
    <col min="7" max="7" width="75" style="4" bestFit="1" customWidth="1"/>
    <col min="8" max="8" width="84.5" style="4" customWidth="1"/>
    <col min="9" max="9" width="81.25" style="4" customWidth="1"/>
    <col min="10" max="10" width="80.75" style="4" bestFit="1" customWidth="1"/>
    <col min="11" max="11" width="75.5" style="4" bestFit="1" customWidth="1"/>
    <col min="12" max="12" width="76" style="4" bestFit="1" customWidth="1"/>
    <col min="13" max="13" width="81" style="4" customWidth="1"/>
    <col min="14" max="14" width="74.08203125" style="4" customWidth="1"/>
    <col min="15" max="15" width="71.5" style="4" customWidth="1"/>
    <col min="16" max="18" width="75.5" style="4" customWidth="1"/>
    <col min="19" max="19" width="73.08203125" style="4" customWidth="1"/>
    <col min="20" max="20" width="74.33203125" style="4" customWidth="1"/>
    <col min="21" max="16384" width="9" style="1"/>
  </cols>
  <sheetData>
    <row r="1" spans="2:20">
      <c r="S1" s="1"/>
      <c r="T1" s="1"/>
    </row>
    <row r="2" spans="2:20" ht="27">
      <c r="B2" s="3" t="s">
        <v>1542</v>
      </c>
      <c r="S2" s="1"/>
      <c r="T2" s="1"/>
    </row>
    <row r="3" spans="2:20">
      <c r="S3" s="1"/>
      <c r="T3" s="1"/>
    </row>
    <row r="4" spans="2:20" s="36" customFormat="1"/>
    <row r="5" spans="2:20">
      <c r="B5" s="207"/>
      <c r="C5" s="208" t="s">
        <v>1543</v>
      </c>
      <c r="D5" s="208" t="s">
        <v>1544</v>
      </c>
      <c r="E5" s="208" t="s">
        <v>1545</v>
      </c>
      <c r="F5" s="208" t="s">
        <v>1546</v>
      </c>
      <c r="G5" s="208" t="s">
        <v>1547</v>
      </c>
      <c r="H5" s="208" t="s">
        <v>1548</v>
      </c>
      <c r="I5" s="208" t="s">
        <v>1549</v>
      </c>
      <c r="J5" s="208" t="s">
        <v>1550</v>
      </c>
      <c r="K5" s="208" t="s">
        <v>1550</v>
      </c>
      <c r="L5" s="208" t="s">
        <v>1550</v>
      </c>
      <c r="M5" s="208" t="s">
        <v>1551</v>
      </c>
      <c r="N5" s="208" t="s">
        <v>1551</v>
      </c>
      <c r="O5" s="208" t="s">
        <v>1552</v>
      </c>
      <c r="P5" s="208" t="s">
        <v>1553</v>
      </c>
      <c r="Q5" s="208" t="s">
        <v>1554</v>
      </c>
      <c r="R5" s="208" t="s">
        <v>1555</v>
      </c>
      <c r="S5" s="209" t="s">
        <v>848</v>
      </c>
      <c r="T5" s="209" t="s">
        <v>848</v>
      </c>
    </row>
    <row r="6" spans="2:20">
      <c r="B6" s="207"/>
      <c r="C6" s="210" t="s">
        <v>1556</v>
      </c>
      <c r="D6" s="210" t="s">
        <v>1557</v>
      </c>
      <c r="E6" s="210" t="s">
        <v>1558</v>
      </c>
      <c r="F6" s="210" t="s">
        <v>1559</v>
      </c>
      <c r="G6" s="210" t="s">
        <v>1560</v>
      </c>
      <c r="H6" s="210" t="s">
        <v>1561</v>
      </c>
      <c r="I6" s="210" t="s">
        <v>1562</v>
      </c>
      <c r="J6" s="210" t="s">
        <v>1563</v>
      </c>
      <c r="K6" s="210" t="s">
        <v>1564</v>
      </c>
      <c r="L6" s="210" t="s">
        <v>1565</v>
      </c>
      <c r="M6" s="210" t="s">
        <v>1566</v>
      </c>
      <c r="N6" s="210" t="s">
        <v>1567</v>
      </c>
      <c r="O6" s="210" t="s">
        <v>1568</v>
      </c>
      <c r="P6" s="210" t="s">
        <v>1569</v>
      </c>
      <c r="Q6" s="210" t="s">
        <v>1570</v>
      </c>
      <c r="R6" s="210" t="s">
        <v>1571</v>
      </c>
      <c r="S6" s="211" t="s">
        <v>1520</v>
      </c>
      <c r="T6" s="211" t="s">
        <v>1524</v>
      </c>
    </row>
    <row r="7" spans="2:20" ht="17.5">
      <c r="B7" s="13" t="s">
        <v>260</v>
      </c>
      <c r="C7" s="212" t="s">
        <v>1572</v>
      </c>
      <c r="D7" s="212" t="s">
        <v>1573</v>
      </c>
      <c r="E7" s="212" t="s">
        <v>1574</v>
      </c>
      <c r="F7" s="212" t="s">
        <v>1575</v>
      </c>
      <c r="G7" s="212" t="s">
        <v>1576</v>
      </c>
      <c r="H7" s="212" t="s">
        <v>1577</v>
      </c>
      <c r="I7" s="212" t="s">
        <v>1578</v>
      </c>
      <c r="J7" s="212" t="s">
        <v>1579</v>
      </c>
      <c r="K7" s="212" t="s">
        <v>1580</v>
      </c>
      <c r="L7" s="212" t="s">
        <v>1581</v>
      </c>
      <c r="M7" s="212" t="s">
        <v>1582</v>
      </c>
      <c r="N7" s="212" t="s">
        <v>1583</v>
      </c>
      <c r="O7" s="212" t="s">
        <v>1584</v>
      </c>
      <c r="P7" s="212" t="s">
        <v>1585</v>
      </c>
      <c r="Q7" s="212" t="s">
        <v>1586</v>
      </c>
      <c r="R7" s="212" t="s">
        <v>1587</v>
      </c>
      <c r="S7" s="213" t="s">
        <v>891</v>
      </c>
      <c r="T7" s="213" t="s">
        <v>892</v>
      </c>
    </row>
    <row r="8" spans="2:20" s="25" customFormat="1">
      <c r="B8" s="5"/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126"/>
      <c r="T8" s="126"/>
    </row>
    <row r="9" spans="2:20" s="25" customFormat="1" ht="39" customHeight="1">
      <c r="B9" s="5" t="s">
        <v>745</v>
      </c>
      <c r="C9" s="7" t="s">
        <v>1588</v>
      </c>
      <c r="D9" s="7" t="s">
        <v>1589</v>
      </c>
      <c r="E9" s="7" t="s">
        <v>1590</v>
      </c>
      <c r="F9" s="7" t="s">
        <v>1590</v>
      </c>
      <c r="G9" s="7" t="s">
        <v>237</v>
      </c>
      <c r="H9" s="7" t="s">
        <v>1591</v>
      </c>
      <c r="I9" s="7" t="s">
        <v>237</v>
      </c>
      <c r="J9" s="7" t="s">
        <v>237</v>
      </c>
      <c r="K9" s="7" t="s">
        <v>237</v>
      </c>
      <c r="L9" s="7" t="s">
        <v>237</v>
      </c>
      <c r="M9" s="7" t="s">
        <v>237</v>
      </c>
      <c r="N9" s="7" t="s">
        <v>237</v>
      </c>
      <c r="O9" s="7" t="s">
        <v>237</v>
      </c>
      <c r="P9" s="7" t="s">
        <v>237</v>
      </c>
      <c r="Q9" s="7" t="s">
        <v>237</v>
      </c>
      <c r="R9" s="7" t="s">
        <v>237</v>
      </c>
      <c r="S9" s="126" t="s">
        <v>644</v>
      </c>
      <c r="T9" s="126" t="s">
        <v>644</v>
      </c>
    </row>
    <row r="10" spans="2:20" s="25" customFormat="1">
      <c r="B10" s="5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126"/>
      <c r="T10" s="126"/>
    </row>
    <row r="11" spans="2:20" s="215" customFormat="1" ht="165">
      <c r="B11" s="5" t="s">
        <v>281</v>
      </c>
      <c r="C11" s="198" t="s">
        <v>1592</v>
      </c>
      <c r="D11" s="198" t="s">
        <v>1593</v>
      </c>
      <c r="E11" s="198" t="s">
        <v>1593</v>
      </c>
      <c r="F11" s="198" t="s">
        <v>1593</v>
      </c>
      <c r="G11" s="198" t="s">
        <v>1594</v>
      </c>
      <c r="H11" s="198" t="s">
        <v>1594</v>
      </c>
      <c r="I11" s="198" t="s">
        <v>1595</v>
      </c>
      <c r="J11" s="198" t="s">
        <v>1596</v>
      </c>
      <c r="K11" s="198" t="s">
        <v>1597</v>
      </c>
      <c r="L11" s="198" t="s">
        <v>1597</v>
      </c>
      <c r="M11" s="198" t="s">
        <v>1596</v>
      </c>
      <c r="N11" s="198" t="s">
        <v>1597</v>
      </c>
      <c r="O11" s="198" t="s">
        <v>1598</v>
      </c>
      <c r="P11" s="198" t="s">
        <v>1597</v>
      </c>
      <c r="Q11" s="198" t="s">
        <v>1596</v>
      </c>
      <c r="R11" s="198" t="s">
        <v>1599</v>
      </c>
      <c r="S11" s="214" t="s">
        <v>1600</v>
      </c>
      <c r="T11" s="214" t="s">
        <v>1600</v>
      </c>
    </row>
    <row r="12" spans="2:20" s="25" customFormat="1">
      <c r="B12" s="5"/>
      <c r="C12" s="6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126"/>
      <c r="T12" s="126"/>
    </row>
    <row r="13" spans="2:20" s="25" customFormat="1" ht="294" customHeight="1">
      <c r="B13" s="5" t="s">
        <v>284</v>
      </c>
      <c r="C13" s="7" t="s">
        <v>1601</v>
      </c>
      <c r="D13" s="7" t="s">
        <v>1602</v>
      </c>
      <c r="E13" s="7" t="s">
        <v>1603</v>
      </c>
      <c r="F13" s="7" t="s">
        <v>1604</v>
      </c>
      <c r="G13" s="7" t="s">
        <v>1605</v>
      </c>
      <c r="H13" s="7" t="s">
        <v>1605</v>
      </c>
      <c r="I13" s="7" t="s">
        <v>1606</v>
      </c>
      <c r="J13" s="7" t="s">
        <v>1607</v>
      </c>
      <c r="K13" s="7" t="s">
        <v>1608</v>
      </c>
      <c r="L13" s="7" t="s">
        <v>1609</v>
      </c>
      <c r="M13" s="7" t="s">
        <v>1607</v>
      </c>
      <c r="N13" s="7" t="s">
        <v>1610</v>
      </c>
      <c r="O13" s="7" t="s">
        <v>1611</v>
      </c>
      <c r="P13" s="7" t="s">
        <v>1612</v>
      </c>
      <c r="Q13" s="198" t="s">
        <v>1613</v>
      </c>
      <c r="R13" s="7" t="s">
        <v>1614</v>
      </c>
      <c r="S13" s="127" t="s">
        <v>1615</v>
      </c>
      <c r="T13" s="126" t="s">
        <v>1616</v>
      </c>
    </row>
    <row r="14" spans="2:20" s="54" customFormat="1" ht="55.5" customHeight="1">
      <c r="B14" s="44" t="s">
        <v>749</v>
      </c>
      <c r="C14" s="45" t="s">
        <v>237</v>
      </c>
      <c r="D14" s="45" t="s">
        <v>237</v>
      </c>
      <c r="E14" s="45" t="s">
        <v>237</v>
      </c>
      <c r="F14" s="45" t="s">
        <v>237</v>
      </c>
      <c r="G14" s="45" t="s">
        <v>1617</v>
      </c>
      <c r="H14" s="45" t="s">
        <v>1617</v>
      </c>
      <c r="I14" s="45" t="s">
        <v>1618</v>
      </c>
      <c r="J14" s="45" t="s">
        <v>237</v>
      </c>
      <c r="K14" s="45" t="s">
        <v>1618</v>
      </c>
      <c r="L14" s="45" t="s">
        <v>1618</v>
      </c>
      <c r="M14" s="45" t="s">
        <v>237</v>
      </c>
      <c r="N14" s="45" t="s">
        <v>1618</v>
      </c>
      <c r="O14" s="45" t="s">
        <v>237</v>
      </c>
      <c r="P14" s="45" t="s">
        <v>1618</v>
      </c>
      <c r="Q14" s="45" t="s">
        <v>237</v>
      </c>
      <c r="R14" s="45" t="s">
        <v>1618</v>
      </c>
      <c r="S14" s="127" t="s">
        <v>82</v>
      </c>
      <c r="T14" s="127" t="s">
        <v>82</v>
      </c>
    </row>
    <row r="15" spans="2:20" s="25" customFormat="1" ht="45">
      <c r="B15" s="5" t="s">
        <v>933</v>
      </c>
      <c r="C15" s="46" t="s">
        <v>1619</v>
      </c>
      <c r="D15" s="46" t="s">
        <v>1620</v>
      </c>
      <c r="E15" s="45" t="s">
        <v>1621</v>
      </c>
      <c r="F15" s="45" t="s">
        <v>1621</v>
      </c>
      <c r="G15" s="7" t="s">
        <v>1622</v>
      </c>
      <c r="H15" s="7" t="s">
        <v>1623</v>
      </c>
      <c r="I15" s="45" t="s">
        <v>1624</v>
      </c>
      <c r="J15" s="45" t="s">
        <v>1625</v>
      </c>
      <c r="K15" s="45" t="s">
        <v>1626</v>
      </c>
      <c r="L15" s="45" t="s">
        <v>1627</v>
      </c>
      <c r="M15" s="45" t="s">
        <v>1628</v>
      </c>
      <c r="N15" s="45" t="s">
        <v>1629</v>
      </c>
      <c r="O15" s="45" t="s">
        <v>1630</v>
      </c>
      <c r="P15" s="45" t="s">
        <v>1630</v>
      </c>
      <c r="Q15" s="45" t="s">
        <v>1631</v>
      </c>
      <c r="R15" s="45" t="s">
        <v>1632</v>
      </c>
      <c r="S15" s="127" t="s">
        <v>944</v>
      </c>
      <c r="T15" s="127" t="s">
        <v>945</v>
      </c>
    </row>
    <row r="16" spans="2:20" s="25" customFormat="1" ht="45">
      <c r="B16" s="5" t="s">
        <v>621</v>
      </c>
      <c r="C16" s="46" t="s">
        <v>771</v>
      </c>
      <c r="D16" s="46" t="s">
        <v>771</v>
      </c>
      <c r="E16" s="7" t="s">
        <v>771</v>
      </c>
      <c r="F16" s="45" t="s">
        <v>771</v>
      </c>
      <c r="G16" s="45" t="s">
        <v>768</v>
      </c>
      <c r="H16" s="7" t="s">
        <v>768</v>
      </c>
      <c r="I16" s="45" t="s">
        <v>768</v>
      </c>
      <c r="J16" s="45" t="s">
        <v>1633</v>
      </c>
      <c r="K16" s="45" t="s">
        <v>768</v>
      </c>
      <c r="L16" s="45" t="s">
        <v>768</v>
      </c>
      <c r="M16" s="45" t="s">
        <v>771</v>
      </c>
      <c r="N16" s="45" t="s">
        <v>768</v>
      </c>
      <c r="O16" s="45" t="s">
        <v>768</v>
      </c>
      <c r="P16" s="7" t="s">
        <v>768</v>
      </c>
      <c r="Q16" s="45" t="s">
        <v>768</v>
      </c>
      <c r="R16" s="45" t="s">
        <v>768</v>
      </c>
      <c r="S16" s="127" t="s">
        <v>349</v>
      </c>
      <c r="T16" s="127" t="s">
        <v>349</v>
      </c>
    </row>
    <row r="17" spans="2:20" s="25" customFormat="1">
      <c r="B17" s="5"/>
      <c r="C17" s="47"/>
      <c r="D17" s="46"/>
      <c r="E17" s="7"/>
      <c r="F17" s="7"/>
      <c r="G17" s="7"/>
      <c r="H17" s="7"/>
      <c r="I17" s="7"/>
      <c r="J17" s="45"/>
      <c r="K17" s="7"/>
      <c r="L17" s="45"/>
      <c r="M17" s="7"/>
      <c r="N17" s="45"/>
      <c r="O17" s="45"/>
      <c r="P17" s="7"/>
      <c r="Q17" s="45"/>
      <c r="R17" s="45"/>
      <c r="S17" s="127"/>
      <c r="T17" s="127"/>
    </row>
    <row r="18" spans="2:20" s="25" customFormat="1" ht="60">
      <c r="B18" s="5" t="s">
        <v>1634</v>
      </c>
      <c r="C18" s="46" t="s">
        <v>1635</v>
      </c>
      <c r="D18" s="46" t="s">
        <v>1636</v>
      </c>
      <c r="E18" s="7" t="s">
        <v>1637</v>
      </c>
      <c r="F18" s="7" t="s">
        <v>1638</v>
      </c>
      <c r="G18" s="7" t="s">
        <v>1638</v>
      </c>
      <c r="H18" s="7" t="s">
        <v>1638</v>
      </c>
      <c r="I18" s="45" t="s">
        <v>1639</v>
      </c>
      <c r="J18" s="45" t="s">
        <v>1639</v>
      </c>
      <c r="K18" s="7" t="s">
        <v>1640</v>
      </c>
      <c r="L18" s="45" t="s">
        <v>1639</v>
      </c>
      <c r="M18" s="45" t="s">
        <v>1641</v>
      </c>
      <c r="N18" s="45" t="s">
        <v>1638</v>
      </c>
      <c r="O18" s="45" t="s">
        <v>1642</v>
      </c>
      <c r="P18" s="45" t="s">
        <v>1642</v>
      </c>
      <c r="Q18" s="45" t="s">
        <v>1639</v>
      </c>
      <c r="R18" s="45" t="s">
        <v>1643</v>
      </c>
      <c r="S18" s="127" t="s">
        <v>959</v>
      </c>
      <c r="T18" s="127" t="s">
        <v>959</v>
      </c>
    </row>
    <row r="19" spans="2:20" s="25" customFormat="1" ht="60">
      <c r="B19" s="16" t="s">
        <v>960</v>
      </c>
      <c r="C19" s="55" t="s">
        <v>1644</v>
      </c>
      <c r="D19" s="55" t="s">
        <v>1645</v>
      </c>
      <c r="E19" s="55" t="s">
        <v>1646</v>
      </c>
      <c r="F19" s="55" t="s">
        <v>1646</v>
      </c>
      <c r="G19" s="45" t="s">
        <v>1647</v>
      </c>
      <c r="H19" s="45" t="s">
        <v>1648</v>
      </c>
      <c r="I19" s="45" t="s">
        <v>1649</v>
      </c>
      <c r="J19" s="45" t="s">
        <v>1650</v>
      </c>
      <c r="K19" s="55" t="s">
        <v>1651</v>
      </c>
      <c r="L19" s="45" t="s">
        <v>1652</v>
      </c>
      <c r="M19" s="55" t="s">
        <v>1653</v>
      </c>
      <c r="N19" s="55" t="s">
        <v>1646</v>
      </c>
      <c r="O19" s="45" t="s">
        <v>1654</v>
      </c>
      <c r="P19" s="45" t="s">
        <v>1655</v>
      </c>
      <c r="Q19" s="45" t="s">
        <v>1656</v>
      </c>
      <c r="R19" s="45" t="s">
        <v>1657</v>
      </c>
      <c r="S19" s="127" t="s">
        <v>975</v>
      </c>
      <c r="T19" s="127" t="s">
        <v>975</v>
      </c>
    </row>
    <row r="20" spans="2:20" s="25" customFormat="1" ht="60">
      <c r="B20" s="16" t="s">
        <v>977</v>
      </c>
      <c r="C20" s="46" t="s">
        <v>1658</v>
      </c>
      <c r="D20" s="46" t="s">
        <v>1659</v>
      </c>
      <c r="E20" s="7" t="s">
        <v>1660</v>
      </c>
      <c r="F20" s="7" t="s">
        <v>1660</v>
      </c>
      <c r="G20" s="45" t="s">
        <v>1660</v>
      </c>
      <c r="H20" s="45" t="s">
        <v>1660</v>
      </c>
      <c r="I20" s="45" t="s">
        <v>1661</v>
      </c>
      <c r="J20" s="45" t="s">
        <v>1662</v>
      </c>
      <c r="K20" s="45" t="s">
        <v>1660</v>
      </c>
      <c r="L20" s="45" t="s">
        <v>1661</v>
      </c>
      <c r="M20" s="45" t="s">
        <v>1663</v>
      </c>
      <c r="N20" s="45" t="s">
        <v>1660</v>
      </c>
      <c r="O20" s="45" t="s">
        <v>1664</v>
      </c>
      <c r="P20" s="45" t="s">
        <v>1665</v>
      </c>
      <c r="Q20" s="45" t="s">
        <v>1666</v>
      </c>
      <c r="R20" s="45" t="s">
        <v>1667</v>
      </c>
      <c r="S20" s="127" t="s">
        <v>992</v>
      </c>
      <c r="T20" s="127" t="s">
        <v>992</v>
      </c>
    </row>
    <row r="21" spans="2:20" s="25" customFormat="1" ht="60">
      <c r="B21" s="16" t="s">
        <v>993</v>
      </c>
      <c r="C21" s="46" t="s">
        <v>1668</v>
      </c>
      <c r="D21" s="46" t="s">
        <v>1669</v>
      </c>
      <c r="E21" s="7" t="s">
        <v>1670</v>
      </c>
      <c r="F21" s="7" t="s">
        <v>1670</v>
      </c>
      <c r="G21" s="45" t="s">
        <v>1671</v>
      </c>
      <c r="H21" s="45" t="s">
        <v>1672</v>
      </c>
      <c r="I21" s="45" t="s">
        <v>1673</v>
      </c>
      <c r="J21" s="45" t="s">
        <v>1674</v>
      </c>
      <c r="K21" s="45" t="s">
        <v>1670</v>
      </c>
      <c r="L21" s="45" t="s">
        <v>1675</v>
      </c>
      <c r="M21" s="45" t="s">
        <v>1676</v>
      </c>
      <c r="N21" s="45" t="s">
        <v>1670</v>
      </c>
      <c r="O21" s="45" t="s">
        <v>1677</v>
      </c>
      <c r="P21" s="45" t="s">
        <v>1678</v>
      </c>
      <c r="Q21" s="45" t="s">
        <v>1679</v>
      </c>
      <c r="R21" s="45" t="s">
        <v>1680</v>
      </c>
      <c r="S21" s="127" t="s">
        <v>1007</v>
      </c>
      <c r="T21" s="127" t="s">
        <v>1007</v>
      </c>
    </row>
    <row r="22" spans="2:20" s="25" customFormat="1" ht="60">
      <c r="B22" s="16" t="s">
        <v>1009</v>
      </c>
      <c r="C22" s="46" t="s">
        <v>1681</v>
      </c>
      <c r="D22" s="46" t="s">
        <v>1682</v>
      </c>
      <c r="E22" s="7" t="s">
        <v>1683</v>
      </c>
      <c r="F22" s="7" t="s">
        <v>1683</v>
      </c>
      <c r="G22" s="45" t="s">
        <v>1684</v>
      </c>
      <c r="H22" s="45" t="s">
        <v>1685</v>
      </c>
      <c r="I22" s="45" t="s">
        <v>1686</v>
      </c>
      <c r="J22" s="45" t="s">
        <v>1687</v>
      </c>
      <c r="K22" s="45" t="s">
        <v>1688</v>
      </c>
      <c r="L22" s="45" t="s">
        <v>1687</v>
      </c>
      <c r="M22" s="45" t="s">
        <v>1689</v>
      </c>
      <c r="N22" s="45" t="s">
        <v>1688</v>
      </c>
      <c r="O22" s="45" t="s">
        <v>1690</v>
      </c>
      <c r="P22" s="45" t="s">
        <v>1691</v>
      </c>
      <c r="Q22" s="45" t="s">
        <v>1692</v>
      </c>
      <c r="R22" s="45" t="s">
        <v>1693</v>
      </c>
      <c r="S22" s="127" t="s">
        <v>1024</v>
      </c>
      <c r="T22" s="127" t="s">
        <v>1024</v>
      </c>
    </row>
    <row r="23" spans="2:20" s="25" customFormat="1" ht="55.5" customHeight="1">
      <c r="B23" s="44" t="s">
        <v>1026</v>
      </c>
      <c r="C23" s="46" t="s">
        <v>1694</v>
      </c>
      <c r="D23" s="46" t="s">
        <v>1695</v>
      </c>
      <c r="E23" s="7" t="s">
        <v>1696</v>
      </c>
      <c r="F23" s="7" t="s">
        <v>1697</v>
      </c>
      <c r="G23" s="7" t="s">
        <v>1697</v>
      </c>
      <c r="H23" s="7" t="s">
        <v>1697</v>
      </c>
      <c r="I23" s="7" t="s">
        <v>1698</v>
      </c>
      <c r="J23" s="7" t="s">
        <v>1698</v>
      </c>
      <c r="K23" s="7" t="s">
        <v>1697</v>
      </c>
      <c r="L23" s="7" t="s">
        <v>1698</v>
      </c>
      <c r="M23" s="7" t="s">
        <v>1698</v>
      </c>
      <c r="N23" s="7" t="s">
        <v>1697</v>
      </c>
      <c r="O23" s="7" t="s">
        <v>1698</v>
      </c>
      <c r="P23" s="7" t="s">
        <v>1698</v>
      </c>
      <c r="Q23" s="7" t="s">
        <v>1698</v>
      </c>
      <c r="R23" s="7" t="s">
        <v>1699</v>
      </c>
      <c r="S23" s="126" t="s">
        <v>1034</v>
      </c>
      <c r="T23" s="126" t="s">
        <v>1034</v>
      </c>
    </row>
    <row r="24" spans="2:20" s="25" customFormat="1" ht="45">
      <c r="B24" s="16" t="s">
        <v>1700</v>
      </c>
      <c r="C24" s="7" t="s">
        <v>771</v>
      </c>
      <c r="D24" s="7" t="s">
        <v>771</v>
      </c>
      <c r="E24" s="7" t="s">
        <v>771</v>
      </c>
      <c r="F24" s="7" t="s">
        <v>771</v>
      </c>
      <c r="G24" s="45" t="s">
        <v>771</v>
      </c>
      <c r="H24" s="46" t="s">
        <v>771</v>
      </c>
      <c r="I24" s="45" t="s">
        <v>1701</v>
      </c>
      <c r="J24" s="45" t="s">
        <v>1701</v>
      </c>
      <c r="K24" s="45" t="s">
        <v>771</v>
      </c>
      <c r="L24" s="45" t="s">
        <v>1701</v>
      </c>
      <c r="M24" s="46" t="s">
        <v>771</v>
      </c>
      <c r="N24" s="46" t="s">
        <v>771</v>
      </c>
      <c r="O24" s="45" t="s">
        <v>768</v>
      </c>
      <c r="P24" s="7" t="s">
        <v>768</v>
      </c>
      <c r="Q24" s="7" t="s">
        <v>768</v>
      </c>
      <c r="R24" s="7" t="s">
        <v>768</v>
      </c>
      <c r="S24" s="127" t="s">
        <v>349</v>
      </c>
      <c r="T24" s="127" t="s">
        <v>349</v>
      </c>
    </row>
    <row r="25" spans="2:20" s="25" customFormat="1">
      <c r="B25" s="16" t="s">
        <v>1040</v>
      </c>
      <c r="C25" s="7" t="s">
        <v>771</v>
      </c>
      <c r="D25" s="7" t="s">
        <v>771</v>
      </c>
      <c r="E25" s="7" t="s">
        <v>771</v>
      </c>
      <c r="F25" s="7" t="s">
        <v>771</v>
      </c>
      <c r="G25" s="45" t="s">
        <v>768</v>
      </c>
      <c r="H25" s="46" t="s">
        <v>768</v>
      </c>
      <c r="I25" s="45" t="s">
        <v>307</v>
      </c>
      <c r="J25" s="45" t="s">
        <v>771</v>
      </c>
      <c r="K25" s="45" t="s">
        <v>307</v>
      </c>
      <c r="L25" s="45" t="s">
        <v>771</v>
      </c>
      <c r="M25" s="45" t="s">
        <v>771</v>
      </c>
      <c r="N25" s="46" t="s">
        <v>768</v>
      </c>
      <c r="O25" s="45" t="s">
        <v>768</v>
      </c>
      <c r="P25" s="46" t="s">
        <v>771</v>
      </c>
      <c r="Q25" s="46" t="s">
        <v>771</v>
      </c>
      <c r="R25" s="45" t="s">
        <v>307</v>
      </c>
      <c r="S25" s="127" t="s">
        <v>349</v>
      </c>
      <c r="T25" s="127" t="s">
        <v>349</v>
      </c>
    </row>
    <row r="26" spans="2:20" s="25" customFormat="1">
      <c r="B26" s="16"/>
      <c r="C26" s="6"/>
      <c r="D26" s="7"/>
      <c r="E26" s="7"/>
      <c r="F26" s="7"/>
      <c r="G26" s="7"/>
      <c r="H26" s="7"/>
      <c r="I26" s="7"/>
      <c r="J26" s="7"/>
      <c r="K26" s="45"/>
      <c r="L26" s="45"/>
      <c r="M26" s="7"/>
      <c r="N26" s="7"/>
      <c r="O26" s="7"/>
      <c r="P26" s="7"/>
      <c r="Q26" s="7"/>
      <c r="R26" s="7"/>
      <c r="S26" s="126"/>
      <c r="T26" s="126"/>
    </row>
    <row r="27" spans="2:20" s="25" customFormat="1" ht="120">
      <c r="B27" s="57" t="s">
        <v>1702</v>
      </c>
      <c r="C27" s="46" t="s">
        <v>1703</v>
      </c>
      <c r="D27" s="46" t="s">
        <v>1704</v>
      </c>
      <c r="E27" s="78" t="s">
        <v>1705</v>
      </c>
      <c r="F27" s="45" t="s">
        <v>1706</v>
      </c>
      <c r="G27" s="45" t="s">
        <v>1707</v>
      </c>
      <c r="H27" s="45" t="s">
        <v>1708</v>
      </c>
      <c r="I27" s="45" t="s">
        <v>1709</v>
      </c>
      <c r="J27" s="45" t="s">
        <v>1710</v>
      </c>
      <c r="K27" s="45" t="s">
        <v>1711</v>
      </c>
      <c r="L27" s="45" t="s">
        <v>1712</v>
      </c>
      <c r="M27" s="45" t="s">
        <v>1713</v>
      </c>
      <c r="N27" s="45" t="s">
        <v>1714</v>
      </c>
      <c r="O27" s="45" t="s">
        <v>1715</v>
      </c>
      <c r="P27" s="45" t="s">
        <v>1716</v>
      </c>
      <c r="Q27" s="78" t="s">
        <v>1717</v>
      </c>
      <c r="R27" s="45" t="s">
        <v>1718</v>
      </c>
      <c r="S27" s="127" t="s">
        <v>1058</v>
      </c>
      <c r="T27" s="127" t="s">
        <v>1058</v>
      </c>
    </row>
    <row r="28" spans="2:20" s="25" customFormat="1">
      <c r="B28" s="5" t="s">
        <v>370</v>
      </c>
      <c r="C28" s="48">
        <v>0.86</v>
      </c>
      <c r="D28" s="31">
        <v>0.8367</v>
      </c>
      <c r="E28" s="48">
        <v>0.89</v>
      </c>
      <c r="F28" s="31">
        <v>0.83720000000000006</v>
      </c>
      <c r="G28" s="49">
        <v>0.874</v>
      </c>
      <c r="H28" s="49">
        <v>0.875</v>
      </c>
      <c r="I28" s="49">
        <v>0.874</v>
      </c>
      <c r="J28" s="49">
        <v>0.88400000000000001</v>
      </c>
      <c r="K28" s="51">
        <v>0.84</v>
      </c>
      <c r="L28" s="61">
        <v>0.88400000000000001</v>
      </c>
      <c r="M28" s="49">
        <v>0.81299999999999994</v>
      </c>
      <c r="N28" s="50">
        <v>0.84199999999999997</v>
      </c>
      <c r="O28" s="31">
        <v>0.82640000000000002</v>
      </c>
      <c r="P28" s="31">
        <v>0.82579999999999998</v>
      </c>
      <c r="Q28" s="31">
        <v>0.82579999999999998</v>
      </c>
      <c r="R28" s="48">
        <v>0.85</v>
      </c>
      <c r="S28" s="139">
        <v>0.82640000000000002</v>
      </c>
      <c r="T28" s="139">
        <v>0.82640000000000002</v>
      </c>
    </row>
    <row r="29" spans="2:20" s="25" customFormat="1">
      <c r="B29" s="5" t="s">
        <v>1061</v>
      </c>
      <c r="C29" s="7" t="s">
        <v>1719</v>
      </c>
      <c r="D29" s="7" t="s">
        <v>1719</v>
      </c>
      <c r="E29" s="7" t="s">
        <v>1719</v>
      </c>
      <c r="F29" s="7" t="s">
        <v>1719</v>
      </c>
      <c r="G29" s="7" t="s">
        <v>1719</v>
      </c>
      <c r="H29" s="7" t="s">
        <v>1719</v>
      </c>
      <c r="I29" s="7" t="s">
        <v>1719</v>
      </c>
      <c r="J29" s="7" t="s">
        <v>1719</v>
      </c>
      <c r="K29" s="7" t="s">
        <v>1719</v>
      </c>
      <c r="L29" s="45" t="s">
        <v>771</v>
      </c>
      <c r="M29" s="7" t="s">
        <v>1719</v>
      </c>
      <c r="N29" s="7" t="s">
        <v>1719</v>
      </c>
      <c r="O29" s="45" t="s">
        <v>768</v>
      </c>
      <c r="P29" s="7" t="s">
        <v>768</v>
      </c>
      <c r="Q29" s="7" t="s">
        <v>768</v>
      </c>
      <c r="R29" s="7" t="s">
        <v>768</v>
      </c>
      <c r="S29" s="127" t="s">
        <v>349</v>
      </c>
      <c r="T29" s="127" t="s">
        <v>349</v>
      </c>
    </row>
    <row r="30" spans="2:20" s="25" customFormat="1">
      <c r="B30" s="5" t="s">
        <v>759</v>
      </c>
      <c r="C30" s="7" t="s">
        <v>768</v>
      </c>
      <c r="D30" s="7" t="s">
        <v>768</v>
      </c>
      <c r="E30" s="7" t="s">
        <v>768</v>
      </c>
      <c r="F30" s="7" t="s">
        <v>768</v>
      </c>
      <c r="G30" s="7" t="s">
        <v>768</v>
      </c>
      <c r="H30" s="7" t="s">
        <v>768</v>
      </c>
      <c r="I30" s="45" t="s">
        <v>768</v>
      </c>
      <c r="J30" s="45" t="s">
        <v>768</v>
      </c>
      <c r="K30" s="45" t="s">
        <v>768</v>
      </c>
      <c r="L30" s="45" t="s">
        <v>768</v>
      </c>
      <c r="M30" s="7" t="s">
        <v>768</v>
      </c>
      <c r="N30" s="45" t="s">
        <v>768</v>
      </c>
      <c r="O30" s="45" t="s">
        <v>768</v>
      </c>
      <c r="P30" s="7" t="s">
        <v>768</v>
      </c>
      <c r="Q30" s="7" t="s">
        <v>768</v>
      </c>
      <c r="R30" s="7" t="s">
        <v>768</v>
      </c>
      <c r="S30" s="127" t="s">
        <v>349</v>
      </c>
      <c r="T30" s="127" t="s">
        <v>349</v>
      </c>
    </row>
    <row r="31" spans="2:20" s="25" customFormat="1">
      <c r="B31" s="5" t="s">
        <v>1064</v>
      </c>
      <c r="C31" s="45">
        <v>1000</v>
      </c>
      <c r="D31" s="45">
        <v>1000</v>
      </c>
      <c r="E31" s="7" t="s">
        <v>237</v>
      </c>
      <c r="F31" s="7" t="s">
        <v>237</v>
      </c>
      <c r="G31" s="7" t="s">
        <v>237</v>
      </c>
      <c r="H31" s="7" t="s">
        <v>237</v>
      </c>
      <c r="I31" s="7" t="s">
        <v>237</v>
      </c>
      <c r="J31" s="7" t="s">
        <v>237</v>
      </c>
      <c r="K31" s="7" t="s">
        <v>237</v>
      </c>
      <c r="L31" s="7" t="s">
        <v>237</v>
      </c>
      <c r="M31" s="7" t="s">
        <v>237</v>
      </c>
      <c r="N31" s="7" t="s">
        <v>237</v>
      </c>
      <c r="O31" s="7" t="s">
        <v>237</v>
      </c>
      <c r="P31" s="7" t="s">
        <v>237</v>
      </c>
      <c r="Q31" s="7" t="s">
        <v>237</v>
      </c>
      <c r="R31" s="7" t="s">
        <v>237</v>
      </c>
      <c r="S31" s="126" t="s">
        <v>644</v>
      </c>
      <c r="T31" s="126" t="s">
        <v>644</v>
      </c>
    </row>
    <row r="32" spans="2:20" s="25" customFormat="1">
      <c r="B32" s="5"/>
      <c r="C32" s="6"/>
      <c r="D32" s="7"/>
      <c r="E32" s="7"/>
      <c r="F32" s="7"/>
      <c r="G32" s="7"/>
      <c r="H32" s="7"/>
      <c r="I32" s="45"/>
      <c r="J32" s="7"/>
      <c r="K32" s="7"/>
      <c r="L32" s="45"/>
      <c r="M32" s="7"/>
      <c r="N32" s="7"/>
      <c r="O32" s="45"/>
      <c r="P32" s="7"/>
      <c r="Q32" s="7"/>
      <c r="R32" s="7"/>
      <c r="S32" s="127"/>
      <c r="T32" s="127"/>
    </row>
    <row r="33" spans="2:20" s="25" customFormat="1" ht="45">
      <c r="B33" s="5" t="s">
        <v>761</v>
      </c>
      <c r="C33" s="7" t="s">
        <v>1720</v>
      </c>
      <c r="D33" s="7" t="s">
        <v>1720</v>
      </c>
      <c r="E33" s="7" t="s">
        <v>1720</v>
      </c>
      <c r="F33" s="7" t="s">
        <v>1721</v>
      </c>
      <c r="G33" s="7" t="s">
        <v>1722</v>
      </c>
      <c r="H33" s="7" t="s">
        <v>1722</v>
      </c>
      <c r="I33" s="7" t="s">
        <v>1723</v>
      </c>
      <c r="J33" s="7" t="s">
        <v>1724</v>
      </c>
      <c r="K33" s="7" t="s">
        <v>1720</v>
      </c>
      <c r="L33" s="7" t="s">
        <v>1724</v>
      </c>
      <c r="M33" s="7" t="s">
        <v>1720</v>
      </c>
      <c r="N33" s="7" t="s">
        <v>1720</v>
      </c>
      <c r="O33" s="7" t="s">
        <v>237</v>
      </c>
      <c r="P33" s="7" t="s">
        <v>237</v>
      </c>
      <c r="Q33" s="7" t="s">
        <v>237</v>
      </c>
      <c r="R33" s="7" t="s">
        <v>237</v>
      </c>
      <c r="S33" s="126" t="s">
        <v>644</v>
      </c>
      <c r="T33" s="126" t="s">
        <v>644</v>
      </c>
    </row>
    <row r="34" spans="2:20" s="25" customFormat="1" ht="30">
      <c r="B34" s="5" t="s">
        <v>375</v>
      </c>
      <c r="C34" s="7" t="s">
        <v>1725</v>
      </c>
      <c r="D34" s="7" t="s">
        <v>1725</v>
      </c>
      <c r="E34" s="7" t="s">
        <v>378</v>
      </c>
      <c r="F34" s="7" t="s">
        <v>1726</v>
      </c>
      <c r="G34" s="7" t="s">
        <v>1726</v>
      </c>
      <c r="H34" s="7" t="s">
        <v>1726</v>
      </c>
      <c r="I34" s="45" t="s">
        <v>1727</v>
      </c>
      <c r="J34" s="7" t="s">
        <v>1727</v>
      </c>
      <c r="K34" s="45" t="s">
        <v>1727</v>
      </c>
      <c r="L34" s="45" t="s">
        <v>1727</v>
      </c>
      <c r="M34" s="45" t="s">
        <v>1727</v>
      </c>
      <c r="N34" s="45" t="s">
        <v>1727</v>
      </c>
      <c r="O34" s="45" t="s">
        <v>1727</v>
      </c>
      <c r="P34" s="45" t="s">
        <v>1727</v>
      </c>
      <c r="Q34" s="45" t="s">
        <v>1727</v>
      </c>
      <c r="R34" s="45" t="s">
        <v>1728</v>
      </c>
      <c r="S34" s="127" t="s">
        <v>1729</v>
      </c>
      <c r="T34" s="127" t="s">
        <v>1729</v>
      </c>
    </row>
    <row r="35" spans="2:20" s="25" customFormat="1">
      <c r="B35" s="5" t="s">
        <v>767</v>
      </c>
      <c r="C35" s="7" t="s">
        <v>307</v>
      </c>
      <c r="D35" s="7" t="s">
        <v>771</v>
      </c>
      <c r="E35" s="7" t="s">
        <v>771</v>
      </c>
      <c r="F35" s="7" t="s">
        <v>771</v>
      </c>
      <c r="G35" s="7" t="s">
        <v>771</v>
      </c>
      <c r="H35" s="7" t="s">
        <v>771</v>
      </c>
      <c r="I35" s="45" t="s">
        <v>771</v>
      </c>
      <c r="J35" s="7" t="s">
        <v>771</v>
      </c>
      <c r="K35" s="45" t="s">
        <v>771</v>
      </c>
      <c r="L35" s="45" t="s">
        <v>771</v>
      </c>
      <c r="M35" s="7" t="s">
        <v>771</v>
      </c>
      <c r="N35" s="45" t="s">
        <v>771</v>
      </c>
      <c r="O35" s="45" t="s">
        <v>768</v>
      </c>
      <c r="P35" s="7" t="s">
        <v>768</v>
      </c>
      <c r="Q35" s="7" t="s">
        <v>768</v>
      </c>
      <c r="R35" s="7" t="s">
        <v>768</v>
      </c>
      <c r="S35" s="127" t="s">
        <v>349</v>
      </c>
      <c r="T35" s="127" t="s">
        <v>349</v>
      </c>
    </row>
    <row r="36" spans="2:20" s="25" customFormat="1">
      <c r="B36" s="5" t="s">
        <v>1070</v>
      </c>
      <c r="C36" s="7" t="s">
        <v>307</v>
      </c>
      <c r="D36" s="7" t="s">
        <v>771</v>
      </c>
      <c r="E36" s="7" t="s">
        <v>771</v>
      </c>
      <c r="F36" s="7" t="s">
        <v>771</v>
      </c>
      <c r="G36" s="7" t="s">
        <v>771</v>
      </c>
      <c r="H36" s="7" t="s">
        <v>771</v>
      </c>
      <c r="I36" s="45" t="s">
        <v>768</v>
      </c>
      <c r="J36" s="7" t="s">
        <v>768</v>
      </c>
      <c r="K36" s="45" t="s">
        <v>771</v>
      </c>
      <c r="L36" s="45" t="s">
        <v>768</v>
      </c>
      <c r="M36" s="7" t="s">
        <v>771</v>
      </c>
      <c r="N36" s="7" t="s">
        <v>771</v>
      </c>
      <c r="O36" s="45" t="s">
        <v>768</v>
      </c>
      <c r="P36" s="7" t="s">
        <v>768</v>
      </c>
      <c r="Q36" s="7" t="s">
        <v>768</v>
      </c>
      <c r="R36" s="7" t="s">
        <v>768</v>
      </c>
      <c r="S36" s="127" t="s">
        <v>349</v>
      </c>
      <c r="T36" s="127" t="s">
        <v>349</v>
      </c>
    </row>
    <row r="37" spans="2:20" s="25" customFormat="1">
      <c r="B37" s="5" t="s">
        <v>770</v>
      </c>
      <c r="C37" s="7" t="s">
        <v>768</v>
      </c>
      <c r="D37" s="7" t="s">
        <v>768</v>
      </c>
      <c r="E37" s="7" t="s">
        <v>768</v>
      </c>
      <c r="F37" s="7" t="s">
        <v>768</v>
      </c>
      <c r="G37" s="7" t="s">
        <v>771</v>
      </c>
      <c r="H37" s="7" t="s">
        <v>771</v>
      </c>
      <c r="I37" s="45" t="s">
        <v>771</v>
      </c>
      <c r="J37" s="7" t="s">
        <v>768</v>
      </c>
      <c r="K37" s="45" t="s">
        <v>768</v>
      </c>
      <c r="L37" s="45" t="s">
        <v>768</v>
      </c>
      <c r="M37" s="7" t="s">
        <v>768</v>
      </c>
      <c r="N37" s="45" t="s">
        <v>768</v>
      </c>
      <c r="O37" s="45" t="s">
        <v>768</v>
      </c>
      <c r="P37" s="7" t="s">
        <v>768</v>
      </c>
      <c r="Q37" s="7" t="s">
        <v>768</v>
      </c>
      <c r="R37" s="7" t="s">
        <v>768</v>
      </c>
      <c r="S37" s="127" t="s">
        <v>349</v>
      </c>
      <c r="T37" s="127" t="s">
        <v>349</v>
      </c>
    </row>
    <row r="38" spans="2:20" s="25" customFormat="1">
      <c r="B38" s="5"/>
      <c r="C38" s="6"/>
      <c r="D38" s="7"/>
      <c r="E38" s="7"/>
      <c r="F38" s="7"/>
      <c r="G38" s="7"/>
      <c r="H38" s="7"/>
      <c r="I38" s="7"/>
      <c r="J38" s="7"/>
      <c r="K38" s="7"/>
      <c r="L38" s="45"/>
      <c r="M38" s="7"/>
      <c r="N38" s="7"/>
      <c r="O38" s="45"/>
      <c r="P38" s="7"/>
      <c r="Q38" s="7"/>
      <c r="R38" s="7"/>
      <c r="S38" s="127"/>
      <c r="T38" s="127"/>
    </row>
    <row r="39" spans="2:20" s="25" customFormat="1" ht="30">
      <c r="B39" s="5" t="s">
        <v>168</v>
      </c>
      <c r="C39" s="7" t="s">
        <v>1730</v>
      </c>
      <c r="D39" s="7" t="s">
        <v>1731</v>
      </c>
      <c r="E39" s="7" t="s">
        <v>1732</v>
      </c>
      <c r="F39" s="7" t="s">
        <v>1730</v>
      </c>
      <c r="G39" s="7" t="s">
        <v>1733</v>
      </c>
      <c r="H39" s="7" t="s">
        <v>1734</v>
      </c>
      <c r="I39" s="7" t="s">
        <v>1733</v>
      </c>
      <c r="J39" s="7" t="s">
        <v>1730</v>
      </c>
      <c r="K39" s="7" t="s">
        <v>1730</v>
      </c>
      <c r="L39" s="45" t="s">
        <v>1730</v>
      </c>
      <c r="M39" s="7" t="s">
        <v>1730</v>
      </c>
      <c r="N39" s="7" t="s">
        <v>1730</v>
      </c>
      <c r="O39" s="7" t="s">
        <v>1735</v>
      </c>
      <c r="P39" s="7" t="s">
        <v>1730</v>
      </c>
      <c r="Q39" s="7" t="s">
        <v>1730</v>
      </c>
      <c r="R39" s="7" t="s">
        <v>1730</v>
      </c>
      <c r="S39" s="126" t="s">
        <v>1736</v>
      </c>
      <c r="T39" s="126" t="s">
        <v>1079</v>
      </c>
    </row>
    <row r="40" spans="2:20" s="25" customFormat="1" ht="45">
      <c r="B40" s="5" t="s">
        <v>775</v>
      </c>
      <c r="C40" s="45" t="s">
        <v>1737</v>
      </c>
      <c r="D40" s="45" t="s">
        <v>1737</v>
      </c>
      <c r="E40" s="45" t="s">
        <v>1738</v>
      </c>
      <c r="F40" s="45" t="s">
        <v>1739</v>
      </c>
      <c r="G40" s="45" t="s">
        <v>1740</v>
      </c>
      <c r="H40" s="45" t="s">
        <v>1741</v>
      </c>
      <c r="I40" s="45" t="s">
        <v>1740</v>
      </c>
      <c r="J40" s="45" t="s">
        <v>1739</v>
      </c>
      <c r="K40" s="45" t="s">
        <v>1738</v>
      </c>
      <c r="L40" s="45" t="s">
        <v>1738</v>
      </c>
      <c r="M40" s="46" t="s">
        <v>1738</v>
      </c>
      <c r="N40" s="45" t="s">
        <v>1741</v>
      </c>
      <c r="O40" s="45" t="s">
        <v>1738</v>
      </c>
      <c r="P40" s="45" t="s">
        <v>1738</v>
      </c>
      <c r="Q40" s="45" t="s">
        <v>1738</v>
      </c>
      <c r="R40" s="45" t="s">
        <v>1738</v>
      </c>
      <c r="S40" s="127" t="s">
        <v>1097</v>
      </c>
      <c r="T40" s="127" t="s">
        <v>1098</v>
      </c>
    </row>
    <row r="41" spans="2:20" s="25" customFormat="1">
      <c r="B41" s="5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126"/>
      <c r="T41" s="126"/>
    </row>
    <row r="42" spans="2:20" s="54" customFormat="1" ht="40.5" customHeight="1">
      <c r="B42" s="44" t="s">
        <v>406</v>
      </c>
      <c r="C42" s="45" t="s">
        <v>1742</v>
      </c>
      <c r="D42" s="45" t="s">
        <v>1742</v>
      </c>
      <c r="E42" s="45" t="s">
        <v>1743</v>
      </c>
      <c r="F42" s="45" t="s">
        <v>1743</v>
      </c>
      <c r="G42" s="45" t="s">
        <v>1101</v>
      </c>
      <c r="H42" s="45" t="s">
        <v>1101</v>
      </c>
      <c r="I42" s="45" t="s">
        <v>1744</v>
      </c>
      <c r="J42" s="45" t="s">
        <v>1743</v>
      </c>
      <c r="K42" s="45" t="s">
        <v>1745</v>
      </c>
      <c r="L42" s="45" t="s">
        <v>1745</v>
      </c>
      <c r="M42" s="45" t="s">
        <v>1743</v>
      </c>
      <c r="N42" s="45" t="s">
        <v>1745</v>
      </c>
      <c r="O42" s="45" t="s">
        <v>1746</v>
      </c>
      <c r="P42" s="45" t="s">
        <v>1744</v>
      </c>
      <c r="Q42" s="45" t="s">
        <v>1747</v>
      </c>
      <c r="R42" s="45" t="s">
        <v>1744</v>
      </c>
      <c r="S42" s="127" t="s">
        <v>415</v>
      </c>
      <c r="T42" s="127" t="s">
        <v>413</v>
      </c>
    </row>
    <row r="43" spans="2:20" s="25" customFormat="1">
      <c r="B43" s="5" t="s">
        <v>205</v>
      </c>
      <c r="C43" s="7" t="s">
        <v>1748</v>
      </c>
      <c r="D43" s="7" t="s">
        <v>1748</v>
      </c>
      <c r="E43" s="7" t="s">
        <v>1748</v>
      </c>
      <c r="F43" s="7" t="s">
        <v>1748</v>
      </c>
      <c r="G43" s="7" t="s">
        <v>1748</v>
      </c>
      <c r="H43" s="45" t="s">
        <v>1748</v>
      </c>
      <c r="I43" s="7" t="s">
        <v>1748</v>
      </c>
      <c r="J43" s="7" t="s">
        <v>1748</v>
      </c>
      <c r="K43" s="7" t="s">
        <v>1748</v>
      </c>
      <c r="L43" s="7" t="s">
        <v>1748</v>
      </c>
      <c r="M43" s="7" t="s">
        <v>1748</v>
      </c>
      <c r="N43" s="7" t="s">
        <v>1748</v>
      </c>
      <c r="O43" s="45" t="s">
        <v>1749</v>
      </c>
      <c r="P43" s="45" t="s">
        <v>1748</v>
      </c>
      <c r="Q43" s="45" t="s">
        <v>1748</v>
      </c>
      <c r="R43" s="7" t="s">
        <v>1748</v>
      </c>
      <c r="S43" s="127" t="s">
        <v>1108</v>
      </c>
      <c r="T43" s="127" t="s">
        <v>419</v>
      </c>
    </row>
    <row r="44" spans="2:20" s="54" customFormat="1" ht="40.5" customHeight="1">
      <c r="B44" s="44" t="s">
        <v>421</v>
      </c>
      <c r="C44" s="45" t="s">
        <v>1750</v>
      </c>
      <c r="D44" s="45" t="s">
        <v>1750</v>
      </c>
      <c r="E44" s="45" t="s">
        <v>1750</v>
      </c>
      <c r="F44" s="45" t="s">
        <v>1750</v>
      </c>
      <c r="G44" s="45" t="s">
        <v>237</v>
      </c>
      <c r="H44" s="45" t="s">
        <v>237</v>
      </c>
      <c r="I44" s="45" t="s">
        <v>237</v>
      </c>
      <c r="J44" s="45" t="s">
        <v>1750</v>
      </c>
      <c r="K44" s="45" t="s">
        <v>1750</v>
      </c>
      <c r="L44" s="45" t="s">
        <v>1750</v>
      </c>
      <c r="M44" s="45" t="s">
        <v>1750</v>
      </c>
      <c r="N44" s="45" t="s">
        <v>1750</v>
      </c>
      <c r="O44" s="45" t="s">
        <v>1751</v>
      </c>
      <c r="P44" s="45" t="s">
        <v>1752</v>
      </c>
      <c r="Q44" s="45" t="s">
        <v>1753</v>
      </c>
      <c r="R44" s="45" t="s">
        <v>237</v>
      </c>
      <c r="S44" s="127" t="s">
        <v>1109</v>
      </c>
      <c r="T44" s="127" t="s">
        <v>1109</v>
      </c>
    </row>
    <row r="45" spans="2:20" s="25" customFormat="1">
      <c r="B45" s="5" t="s">
        <v>787</v>
      </c>
      <c r="C45" s="7" t="s">
        <v>1754</v>
      </c>
      <c r="D45" s="7" t="s">
        <v>1755</v>
      </c>
      <c r="E45" s="7" t="s">
        <v>1754</v>
      </c>
      <c r="F45" s="7" t="s">
        <v>1756</v>
      </c>
      <c r="G45" s="45" t="s">
        <v>1757</v>
      </c>
      <c r="H45" s="45" t="s">
        <v>1758</v>
      </c>
      <c r="I45" s="45" t="s">
        <v>1759</v>
      </c>
      <c r="J45" s="45" t="s">
        <v>1760</v>
      </c>
      <c r="K45" s="7" t="s">
        <v>1761</v>
      </c>
      <c r="L45" s="45" t="s">
        <v>1762</v>
      </c>
      <c r="M45" s="7" t="s">
        <v>1763</v>
      </c>
      <c r="N45" s="7" t="s">
        <v>1763</v>
      </c>
      <c r="O45" s="45" t="s">
        <v>1764</v>
      </c>
      <c r="P45" s="45" t="s">
        <v>1765</v>
      </c>
      <c r="Q45" s="45" t="s">
        <v>1766</v>
      </c>
      <c r="R45" s="45" t="s">
        <v>1767</v>
      </c>
      <c r="S45" s="127" t="s">
        <v>1768</v>
      </c>
      <c r="T45" s="127" t="s">
        <v>1768</v>
      </c>
    </row>
    <row r="46" spans="2:20" s="25" customFormat="1" ht="60">
      <c r="B46" s="5" t="s">
        <v>435</v>
      </c>
      <c r="C46" s="7" t="s">
        <v>1769</v>
      </c>
      <c r="D46" s="7" t="s">
        <v>1770</v>
      </c>
      <c r="E46" s="7" t="s">
        <v>1771</v>
      </c>
      <c r="F46" s="7" t="s">
        <v>1771</v>
      </c>
      <c r="G46" s="45" t="s">
        <v>1772</v>
      </c>
      <c r="H46" s="45" t="s">
        <v>1772</v>
      </c>
      <c r="I46" s="7" t="s">
        <v>1773</v>
      </c>
      <c r="J46" s="7" t="s">
        <v>1773</v>
      </c>
      <c r="K46" s="45" t="s">
        <v>1774</v>
      </c>
      <c r="L46" s="7" t="s">
        <v>1773</v>
      </c>
      <c r="M46" s="7" t="s">
        <v>1775</v>
      </c>
      <c r="N46" s="45" t="s">
        <v>1772</v>
      </c>
      <c r="O46" s="45" t="s">
        <v>1776</v>
      </c>
      <c r="P46" s="45" t="s">
        <v>1776</v>
      </c>
      <c r="Q46" s="45" t="s">
        <v>1777</v>
      </c>
      <c r="R46" s="7" t="s">
        <v>1778</v>
      </c>
      <c r="S46" s="127" t="s">
        <v>1779</v>
      </c>
      <c r="T46" s="127" t="s">
        <v>1779</v>
      </c>
    </row>
    <row r="47" spans="2:20" s="24" customFormat="1" ht="204.75" customHeight="1">
      <c r="B47" s="44" t="s">
        <v>181</v>
      </c>
      <c r="C47" s="45" t="s">
        <v>1780</v>
      </c>
      <c r="D47" s="45" t="s">
        <v>1780</v>
      </c>
      <c r="E47" s="45" t="s">
        <v>1781</v>
      </c>
      <c r="F47" s="45" t="s">
        <v>1780</v>
      </c>
      <c r="G47" s="45" t="s">
        <v>1782</v>
      </c>
      <c r="H47" s="45" t="s">
        <v>1782</v>
      </c>
      <c r="I47" s="45" t="s">
        <v>1783</v>
      </c>
      <c r="J47" s="45" t="s">
        <v>1784</v>
      </c>
      <c r="K47" s="45" t="s">
        <v>1785</v>
      </c>
      <c r="L47" s="45" t="s">
        <v>1786</v>
      </c>
      <c r="M47" s="45" t="s">
        <v>1781</v>
      </c>
      <c r="N47" s="45" t="s">
        <v>1787</v>
      </c>
      <c r="O47" s="45" t="s">
        <v>1788</v>
      </c>
      <c r="P47" s="45" t="s">
        <v>1789</v>
      </c>
      <c r="Q47" s="45" t="s">
        <v>1790</v>
      </c>
      <c r="R47" s="45" t="s">
        <v>1791</v>
      </c>
      <c r="S47" s="140" t="s">
        <v>1792</v>
      </c>
      <c r="T47" s="140" t="s">
        <v>1793</v>
      </c>
    </row>
    <row r="48" spans="2:20" s="25" customFormat="1">
      <c r="B48" s="44" t="s">
        <v>457</v>
      </c>
      <c r="C48" s="45" t="s">
        <v>771</v>
      </c>
      <c r="D48" s="45" t="s">
        <v>771</v>
      </c>
      <c r="E48" s="45" t="s">
        <v>771</v>
      </c>
      <c r="F48" s="45" t="s">
        <v>771</v>
      </c>
      <c r="G48" s="45" t="s">
        <v>771</v>
      </c>
      <c r="H48" s="45" t="s">
        <v>771</v>
      </c>
      <c r="I48" s="45" t="s">
        <v>771</v>
      </c>
      <c r="J48" s="45" t="s">
        <v>771</v>
      </c>
      <c r="K48" s="45" t="s">
        <v>771</v>
      </c>
      <c r="L48" s="45" t="s">
        <v>771</v>
      </c>
      <c r="M48" s="45" t="s">
        <v>771</v>
      </c>
      <c r="N48" s="45" t="s">
        <v>771</v>
      </c>
      <c r="O48" s="45" t="s">
        <v>771</v>
      </c>
      <c r="P48" s="45" t="s">
        <v>771</v>
      </c>
      <c r="Q48" s="45" t="s">
        <v>771</v>
      </c>
      <c r="R48" s="45" t="s">
        <v>771</v>
      </c>
      <c r="S48" s="127" t="s">
        <v>307</v>
      </c>
      <c r="T48" s="127" t="s">
        <v>307</v>
      </c>
    </row>
    <row r="49" spans="2:20" s="25" customFormat="1" ht="30">
      <c r="B49" s="44" t="s">
        <v>458</v>
      </c>
      <c r="C49" s="45" t="s">
        <v>1794</v>
      </c>
      <c r="D49" s="45" t="s">
        <v>1794</v>
      </c>
      <c r="E49" s="45" t="s">
        <v>1795</v>
      </c>
      <c r="F49" s="45" t="s">
        <v>1795</v>
      </c>
      <c r="G49" s="45" t="s">
        <v>1796</v>
      </c>
      <c r="H49" s="45" t="s">
        <v>1796</v>
      </c>
      <c r="I49" s="45" t="s">
        <v>1796</v>
      </c>
      <c r="J49" s="45" t="s">
        <v>1795</v>
      </c>
      <c r="K49" s="45" t="s">
        <v>1795</v>
      </c>
      <c r="L49" s="45" t="s">
        <v>1795</v>
      </c>
      <c r="M49" s="45" t="s">
        <v>1795</v>
      </c>
      <c r="N49" s="45" t="s">
        <v>1795</v>
      </c>
      <c r="O49" s="45" t="s">
        <v>1797</v>
      </c>
      <c r="P49" s="45" t="s">
        <v>1798</v>
      </c>
      <c r="Q49" s="45" t="s">
        <v>1798</v>
      </c>
      <c r="R49" s="45" t="s">
        <v>1799</v>
      </c>
      <c r="S49" s="127" t="s">
        <v>1148</v>
      </c>
      <c r="T49" s="127" t="s">
        <v>1148</v>
      </c>
    </row>
    <row r="50" spans="2:20" s="25" customFormat="1" ht="30">
      <c r="B50" s="44" t="s">
        <v>194</v>
      </c>
      <c r="C50" s="45" t="s">
        <v>1800</v>
      </c>
      <c r="D50" s="45" t="s">
        <v>1800</v>
      </c>
      <c r="E50" s="45" t="s">
        <v>462</v>
      </c>
      <c r="F50" s="45" t="s">
        <v>1800</v>
      </c>
      <c r="G50" s="45" t="s">
        <v>1800</v>
      </c>
      <c r="H50" s="45" t="s">
        <v>1800</v>
      </c>
      <c r="I50" s="45" t="s">
        <v>1801</v>
      </c>
      <c r="J50" s="45" t="s">
        <v>1800</v>
      </c>
      <c r="K50" s="45" t="s">
        <v>1801</v>
      </c>
      <c r="L50" s="45" t="s">
        <v>1800</v>
      </c>
      <c r="M50" s="45" t="s">
        <v>1800</v>
      </c>
      <c r="N50" s="45" t="s">
        <v>1800</v>
      </c>
      <c r="O50" s="45" t="s">
        <v>1800</v>
      </c>
      <c r="P50" s="45" t="s">
        <v>1800</v>
      </c>
      <c r="Q50" s="45" t="s">
        <v>1800</v>
      </c>
      <c r="R50" s="45" t="s">
        <v>1801</v>
      </c>
      <c r="S50" s="127" t="s">
        <v>462</v>
      </c>
      <c r="T50" s="127" t="s">
        <v>462</v>
      </c>
    </row>
    <row r="51" spans="2:20" s="25" customFormat="1">
      <c r="B51" s="44" t="s">
        <v>1153</v>
      </c>
      <c r="C51" s="45" t="s">
        <v>1802</v>
      </c>
      <c r="D51" s="45" t="s">
        <v>1802</v>
      </c>
      <c r="E51" s="45" t="s">
        <v>1802</v>
      </c>
      <c r="F51" s="45" t="s">
        <v>1802</v>
      </c>
      <c r="G51" s="45" t="s">
        <v>1802</v>
      </c>
      <c r="H51" s="45" t="s">
        <v>1802</v>
      </c>
      <c r="I51" s="45" t="s">
        <v>1802</v>
      </c>
      <c r="J51" s="45" t="s">
        <v>1802</v>
      </c>
      <c r="K51" s="45" t="s">
        <v>1802</v>
      </c>
      <c r="L51" s="45" t="s">
        <v>1802</v>
      </c>
      <c r="M51" s="45" t="s">
        <v>1802</v>
      </c>
      <c r="N51" s="45" t="s">
        <v>1802</v>
      </c>
      <c r="O51" s="45" t="s">
        <v>1803</v>
      </c>
      <c r="P51" s="45" t="s">
        <v>1802</v>
      </c>
      <c r="Q51" s="45" t="s">
        <v>1802</v>
      </c>
      <c r="R51" s="45" t="s">
        <v>1802</v>
      </c>
      <c r="S51" s="127" t="s">
        <v>1155</v>
      </c>
      <c r="T51" s="127" t="s">
        <v>1155</v>
      </c>
    </row>
    <row r="52" spans="2:20" s="25" customFormat="1" ht="30">
      <c r="B52" s="44" t="s">
        <v>465</v>
      </c>
      <c r="C52" s="45" t="s">
        <v>1804</v>
      </c>
      <c r="D52" s="45" t="s">
        <v>1804</v>
      </c>
      <c r="E52" s="45" t="s">
        <v>1805</v>
      </c>
      <c r="F52" s="45" t="s">
        <v>1805</v>
      </c>
      <c r="G52" s="45" t="s">
        <v>1805</v>
      </c>
      <c r="H52" s="45" t="s">
        <v>1804</v>
      </c>
      <c r="I52" s="45" t="s">
        <v>1157</v>
      </c>
      <c r="J52" s="45" t="s">
        <v>1157</v>
      </c>
      <c r="K52" s="45" t="s">
        <v>1157</v>
      </c>
      <c r="L52" s="45" t="s">
        <v>1157</v>
      </c>
      <c r="M52" s="45" t="s">
        <v>1806</v>
      </c>
      <c r="N52" s="45" t="s">
        <v>1157</v>
      </c>
      <c r="O52" s="45" t="s">
        <v>1157</v>
      </c>
      <c r="P52" s="45" t="s">
        <v>1157</v>
      </c>
      <c r="Q52" s="45" t="s">
        <v>1157</v>
      </c>
      <c r="R52" s="45" t="s">
        <v>1805</v>
      </c>
      <c r="S52" s="127" t="s">
        <v>1157</v>
      </c>
      <c r="T52" s="127" t="s">
        <v>1157</v>
      </c>
    </row>
    <row r="53" spans="2:20" s="25" customFormat="1" ht="30">
      <c r="B53" s="44" t="s">
        <v>473</v>
      </c>
      <c r="C53" s="45" t="s">
        <v>144</v>
      </c>
      <c r="D53" s="45" t="s">
        <v>144</v>
      </c>
      <c r="E53" s="45" t="s">
        <v>144</v>
      </c>
      <c r="F53" s="45" t="s">
        <v>144</v>
      </c>
      <c r="G53" s="45" t="s">
        <v>144</v>
      </c>
      <c r="H53" s="45" t="s">
        <v>1807</v>
      </c>
      <c r="I53" s="45" t="s">
        <v>144</v>
      </c>
      <c r="J53" s="45" t="s">
        <v>144</v>
      </c>
      <c r="K53" s="45" t="s">
        <v>144</v>
      </c>
      <c r="L53" s="45" t="s">
        <v>144</v>
      </c>
      <c r="M53" s="45" t="s">
        <v>144</v>
      </c>
      <c r="N53" s="45" t="s">
        <v>144</v>
      </c>
      <c r="O53" s="45" t="s">
        <v>144</v>
      </c>
      <c r="P53" s="45" t="s">
        <v>144</v>
      </c>
      <c r="Q53" s="45" t="s">
        <v>144</v>
      </c>
      <c r="R53" s="45" t="s">
        <v>144</v>
      </c>
      <c r="S53" s="127" t="s">
        <v>143</v>
      </c>
      <c r="T53" s="127" t="s">
        <v>143</v>
      </c>
    </row>
    <row r="54" spans="2:20" s="25" customFormat="1">
      <c r="B54" s="44" t="s">
        <v>801</v>
      </c>
      <c r="C54" s="45" t="s">
        <v>803</v>
      </c>
      <c r="D54" s="45" t="s">
        <v>1808</v>
      </c>
      <c r="E54" s="45" t="s">
        <v>803</v>
      </c>
      <c r="F54" s="45" t="s">
        <v>803</v>
      </c>
      <c r="G54" s="45" t="s">
        <v>1809</v>
      </c>
      <c r="H54" s="45" t="s">
        <v>803</v>
      </c>
      <c r="I54" s="45" t="s">
        <v>1810</v>
      </c>
      <c r="J54" s="45" t="s">
        <v>1810</v>
      </c>
      <c r="K54" s="45" t="s">
        <v>1811</v>
      </c>
      <c r="L54" s="45" t="s">
        <v>1810</v>
      </c>
      <c r="M54" s="45" t="s">
        <v>1811</v>
      </c>
      <c r="N54" s="45" t="s">
        <v>1811</v>
      </c>
      <c r="O54" s="45" t="s">
        <v>1810</v>
      </c>
      <c r="P54" s="45" t="s">
        <v>1810</v>
      </c>
      <c r="Q54" s="45" t="s">
        <v>1812</v>
      </c>
      <c r="R54" s="45" t="s">
        <v>1812</v>
      </c>
      <c r="S54" s="127" t="s">
        <v>1162</v>
      </c>
      <c r="T54" s="127" t="s">
        <v>1162</v>
      </c>
    </row>
    <row r="55" spans="2:20" s="25" customFormat="1">
      <c r="B55" s="44" t="s">
        <v>234</v>
      </c>
      <c r="C55" s="45" t="s">
        <v>1813</v>
      </c>
      <c r="D55" s="45" t="s">
        <v>1813</v>
      </c>
      <c r="E55" s="45" t="s">
        <v>1813</v>
      </c>
      <c r="F55" s="45" t="s">
        <v>1813</v>
      </c>
      <c r="G55" s="45" t="s">
        <v>1813</v>
      </c>
      <c r="H55" s="45" t="s">
        <v>1813</v>
      </c>
      <c r="I55" s="45" t="s">
        <v>1813</v>
      </c>
      <c r="J55" s="45" t="s">
        <v>1813</v>
      </c>
      <c r="K55" s="45" t="s">
        <v>1813</v>
      </c>
      <c r="L55" s="45" t="s">
        <v>1813</v>
      </c>
      <c r="M55" s="45" t="s">
        <v>1813</v>
      </c>
      <c r="N55" s="45" t="s">
        <v>1813</v>
      </c>
      <c r="O55" s="45" t="s">
        <v>1813</v>
      </c>
      <c r="P55" s="45" t="s">
        <v>1813</v>
      </c>
      <c r="Q55" s="45" t="s">
        <v>1813</v>
      </c>
      <c r="R55" s="45" t="s">
        <v>1813</v>
      </c>
      <c r="S55" s="127" t="s">
        <v>1164</v>
      </c>
      <c r="T55" s="127" t="s">
        <v>1164</v>
      </c>
    </row>
    <row r="56" spans="2:20" s="25" customFormat="1">
      <c r="B56" s="44" t="s">
        <v>480</v>
      </c>
      <c r="C56" s="79" t="s">
        <v>771</v>
      </c>
      <c r="D56" s="79" t="s">
        <v>771</v>
      </c>
      <c r="E56" s="45" t="s">
        <v>768</v>
      </c>
      <c r="F56" s="45" t="s">
        <v>768</v>
      </c>
      <c r="G56" s="45" t="s">
        <v>768</v>
      </c>
      <c r="H56" s="45" t="s">
        <v>768</v>
      </c>
      <c r="I56" s="45" t="s">
        <v>768</v>
      </c>
      <c r="J56" s="45" t="s">
        <v>768</v>
      </c>
      <c r="K56" s="45" t="s">
        <v>768</v>
      </c>
      <c r="L56" s="45" t="s">
        <v>768</v>
      </c>
      <c r="M56" s="45" t="s">
        <v>768</v>
      </c>
      <c r="N56" s="45" t="s">
        <v>768</v>
      </c>
      <c r="O56" s="45" t="s">
        <v>768</v>
      </c>
      <c r="P56" s="45" t="s">
        <v>768</v>
      </c>
      <c r="Q56" s="45" t="s">
        <v>768</v>
      </c>
      <c r="R56" s="45" t="s">
        <v>768</v>
      </c>
      <c r="S56" s="127" t="s">
        <v>349</v>
      </c>
      <c r="T56" s="127" t="s">
        <v>349</v>
      </c>
    </row>
    <row r="57" spans="2:20" s="25" customFormat="1">
      <c r="B57" s="5"/>
      <c r="C57" s="6"/>
      <c r="D57" s="6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126"/>
      <c r="T57" s="126"/>
    </row>
    <row r="58" spans="2:20" s="25" customFormat="1" ht="75.5">
      <c r="B58" s="5" t="s">
        <v>695</v>
      </c>
      <c r="C58" s="46" t="s">
        <v>807</v>
      </c>
      <c r="D58" s="7" t="s">
        <v>807</v>
      </c>
      <c r="E58" s="7" t="s">
        <v>1814</v>
      </c>
      <c r="F58" s="7" t="s">
        <v>1814</v>
      </c>
      <c r="G58" s="45" t="s">
        <v>1815</v>
      </c>
      <c r="H58" s="45" t="s">
        <v>1816</v>
      </c>
      <c r="I58" s="45" t="s">
        <v>1817</v>
      </c>
      <c r="J58" s="7" t="s">
        <v>1818</v>
      </c>
      <c r="K58" s="45" t="s">
        <v>1819</v>
      </c>
      <c r="L58" s="7" t="s">
        <v>1820</v>
      </c>
      <c r="M58" s="7" t="s">
        <v>1819</v>
      </c>
      <c r="N58" s="45" t="s">
        <v>1819</v>
      </c>
      <c r="O58" s="7" t="s">
        <v>1821</v>
      </c>
      <c r="P58" s="45" t="s">
        <v>1822</v>
      </c>
      <c r="Q58" s="45" t="s">
        <v>1822</v>
      </c>
      <c r="R58" s="45" t="s">
        <v>1822</v>
      </c>
      <c r="S58" s="126" t="s">
        <v>1180</v>
      </c>
      <c r="T58" s="126" t="s">
        <v>1181</v>
      </c>
    </row>
    <row r="59" spans="2:20" s="25" customFormat="1">
      <c r="B59" s="5" t="s">
        <v>494</v>
      </c>
      <c r="C59" s="6" t="s">
        <v>1823</v>
      </c>
      <c r="D59" s="7" t="s">
        <v>1824</v>
      </c>
      <c r="E59" s="7" t="s">
        <v>1825</v>
      </c>
      <c r="F59" s="7" t="s">
        <v>1826</v>
      </c>
      <c r="G59" s="7" t="s">
        <v>1827</v>
      </c>
      <c r="H59" s="7" t="s">
        <v>1828</v>
      </c>
      <c r="I59" s="7" t="s">
        <v>1829</v>
      </c>
      <c r="J59" s="7" t="s">
        <v>1830</v>
      </c>
      <c r="K59" s="7" t="s">
        <v>1831</v>
      </c>
      <c r="L59" s="7" t="s">
        <v>1832</v>
      </c>
      <c r="M59" s="7" t="s">
        <v>1833</v>
      </c>
      <c r="N59" s="7" t="s">
        <v>1833</v>
      </c>
      <c r="O59" s="7" t="s">
        <v>1834</v>
      </c>
      <c r="P59" s="7" t="s">
        <v>1835</v>
      </c>
      <c r="Q59" s="7" t="s">
        <v>1835</v>
      </c>
      <c r="R59" s="7" t="s">
        <v>1836</v>
      </c>
      <c r="S59" s="126" t="s">
        <v>1837</v>
      </c>
      <c r="T59" s="126" t="s">
        <v>1837</v>
      </c>
    </row>
    <row r="60" spans="2:20" s="25" customFormat="1" ht="30">
      <c r="B60" s="5" t="s">
        <v>223</v>
      </c>
      <c r="C60" s="7" t="s">
        <v>1838</v>
      </c>
      <c r="D60" s="46" t="s">
        <v>1839</v>
      </c>
      <c r="E60" s="7" t="s">
        <v>1840</v>
      </c>
      <c r="F60" s="7" t="s">
        <v>1841</v>
      </c>
      <c r="G60" s="7" t="s">
        <v>1842</v>
      </c>
      <c r="H60" s="7" t="s">
        <v>1843</v>
      </c>
      <c r="I60" s="7" t="s">
        <v>1844</v>
      </c>
      <c r="J60" s="7" t="s">
        <v>1845</v>
      </c>
      <c r="K60" s="7" t="s">
        <v>1846</v>
      </c>
      <c r="L60" s="7" t="s">
        <v>1847</v>
      </c>
      <c r="M60" s="7" t="s">
        <v>1848</v>
      </c>
      <c r="N60" s="7" t="s">
        <v>1848</v>
      </c>
      <c r="O60" s="7" t="s">
        <v>1849</v>
      </c>
      <c r="P60" s="7" t="s">
        <v>1850</v>
      </c>
      <c r="Q60" s="7" t="s">
        <v>1850</v>
      </c>
      <c r="R60" s="7" t="s">
        <v>1851</v>
      </c>
      <c r="S60" s="126" t="s">
        <v>519</v>
      </c>
      <c r="T60" s="126" t="s">
        <v>519</v>
      </c>
    </row>
    <row r="61" spans="2:20" s="25" customFormat="1">
      <c r="B61" s="5"/>
      <c r="C61" s="7"/>
      <c r="D61" s="46"/>
      <c r="E61" s="7"/>
      <c r="F61" s="7"/>
      <c r="G61" s="7"/>
      <c r="H61" s="7"/>
      <c r="I61" s="56"/>
      <c r="J61" s="7"/>
      <c r="K61" s="7"/>
      <c r="L61" s="7"/>
      <c r="M61" s="7"/>
      <c r="N61" s="7"/>
      <c r="O61" s="7"/>
      <c r="P61" s="7"/>
      <c r="Q61" s="7"/>
      <c r="R61" s="7"/>
      <c r="S61" s="126"/>
      <c r="T61" s="126"/>
    </row>
    <row r="62" spans="2:20" s="25" customFormat="1" ht="117.75" customHeight="1">
      <c r="B62" s="5" t="s">
        <v>1852</v>
      </c>
      <c r="C62" s="7"/>
      <c r="D62" s="46"/>
      <c r="E62" s="7"/>
      <c r="F62" s="7"/>
      <c r="G62" s="7"/>
      <c r="H62" s="7"/>
      <c r="I62" s="56"/>
      <c r="J62" s="7"/>
      <c r="K62" s="7"/>
      <c r="L62" s="7"/>
      <c r="M62" s="7"/>
      <c r="N62" s="7"/>
      <c r="O62" s="7"/>
      <c r="P62" s="7"/>
      <c r="Q62" s="7"/>
      <c r="R62" s="7"/>
      <c r="S62" s="126"/>
      <c r="T62" s="126"/>
    </row>
    <row r="63" spans="2:20" s="25" customFormat="1">
      <c r="B63" s="5"/>
      <c r="C63" s="7"/>
      <c r="D63" s="46"/>
      <c r="E63" s="7"/>
      <c r="F63" s="7"/>
      <c r="G63" s="7"/>
      <c r="H63" s="7"/>
      <c r="I63" s="56"/>
      <c r="J63" s="7"/>
      <c r="K63" s="7"/>
      <c r="L63" s="7"/>
      <c r="M63" s="7"/>
      <c r="N63" s="7"/>
      <c r="O63" s="7"/>
      <c r="P63" s="7"/>
      <c r="Q63" s="7"/>
      <c r="R63" s="7"/>
      <c r="S63" s="126"/>
      <c r="T63" s="126"/>
    </row>
    <row r="64" spans="2:20" s="25" customFormat="1">
      <c r="B64" s="5"/>
      <c r="C64" s="7"/>
      <c r="D64" s="46"/>
      <c r="E64" s="7"/>
      <c r="F64" s="7"/>
      <c r="G64" s="7"/>
      <c r="H64" s="7"/>
      <c r="I64" s="56"/>
      <c r="J64" s="7"/>
      <c r="K64" s="7"/>
      <c r="L64" s="7"/>
      <c r="M64" s="7"/>
      <c r="N64" s="7"/>
      <c r="O64" s="7"/>
      <c r="P64" s="7"/>
      <c r="Q64" s="7"/>
      <c r="R64" s="7"/>
      <c r="S64" s="126"/>
      <c r="T64" s="126"/>
    </row>
    <row r="65" spans="2:20" s="25" customFormat="1">
      <c r="B65" s="5"/>
      <c r="C65" s="7"/>
      <c r="D65" s="46"/>
      <c r="E65" s="7"/>
      <c r="F65" s="7"/>
      <c r="G65" s="7"/>
      <c r="H65" s="7"/>
      <c r="I65" s="56"/>
      <c r="J65" s="7"/>
      <c r="K65" s="7"/>
      <c r="L65" s="7"/>
      <c r="M65" s="7"/>
      <c r="N65" s="7"/>
      <c r="O65" s="7"/>
      <c r="P65" s="7"/>
      <c r="Q65" s="7"/>
      <c r="R65" s="7"/>
      <c r="S65" s="126"/>
      <c r="T65" s="126"/>
    </row>
    <row r="66" spans="2:20" s="25" customFormat="1">
      <c r="B66" s="5"/>
      <c r="C66" s="6"/>
      <c r="D66" s="7"/>
      <c r="E66" s="7"/>
      <c r="F66" s="7"/>
      <c r="G66" s="7"/>
      <c r="H66" s="7"/>
      <c r="I66" s="8"/>
      <c r="J66" s="7"/>
      <c r="K66" s="7"/>
      <c r="L66" s="7"/>
      <c r="M66" s="7"/>
      <c r="N66" s="7"/>
      <c r="O66" s="7"/>
      <c r="P66" s="7"/>
      <c r="Q66" s="7"/>
      <c r="R66" s="7"/>
      <c r="S66" s="126"/>
      <c r="T66" s="126"/>
    </row>
    <row r="67" spans="2:20" s="25" customFormat="1">
      <c r="B67" s="5"/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126"/>
      <c r="T67" s="126"/>
    </row>
    <row r="68" spans="2:20" s="25" customFormat="1">
      <c r="B68" s="8"/>
      <c r="C68" s="52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128"/>
      <c r="T68" s="128"/>
    </row>
    <row r="69" spans="2:20" s="25" customFormat="1"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129"/>
      <c r="T69" s="129"/>
    </row>
    <row r="70" spans="2:20" s="24" customFormat="1">
      <c r="B70" s="8" t="s">
        <v>1207</v>
      </c>
      <c r="C70" s="58"/>
      <c r="D70" s="58"/>
      <c r="E70" s="58"/>
      <c r="F70" s="58"/>
      <c r="G70" s="58">
        <v>45362</v>
      </c>
      <c r="H70" s="58">
        <v>45313</v>
      </c>
      <c r="I70" s="58">
        <v>45364</v>
      </c>
      <c r="J70" s="58">
        <v>45355</v>
      </c>
      <c r="K70" s="58">
        <v>45313</v>
      </c>
      <c r="L70" s="58">
        <v>45356</v>
      </c>
      <c r="M70" s="58">
        <v>45296</v>
      </c>
      <c r="N70" s="58">
        <v>45313</v>
      </c>
      <c r="O70" s="58">
        <v>45313</v>
      </c>
      <c r="P70" s="58">
        <v>45306</v>
      </c>
      <c r="Q70" s="58">
        <v>45497</v>
      </c>
      <c r="R70" s="58" t="s">
        <v>1853</v>
      </c>
      <c r="S70" s="128" t="s">
        <v>82</v>
      </c>
      <c r="T70" s="128" t="s">
        <v>82</v>
      </c>
    </row>
    <row r="71" spans="2:20" s="24" customFormat="1">
      <c r="B71" s="8" t="s">
        <v>526</v>
      </c>
      <c r="C71" s="58">
        <v>45313</v>
      </c>
      <c r="D71" s="58">
        <v>45282</v>
      </c>
      <c r="E71" s="58">
        <v>45282</v>
      </c>
      <c r="F71" s="58">
        <v>45303</v>
      </c>
      <c r="G71" s="58">
        <v>45371</v>
      </c>
      <c r="H71" s="58">
        <v>45327</v>
      </c>
      <c r="I71" s="58">
        <v>45380</v>
      </c>
      <c r="J71" s="58">
        <v>45366</v>
      </c>
      <c r="K71" s="58">
        <v>45371</v>
      </c>
      <c r="L71" s="58">
        <v>45379</v>
      </c>
      <c r="M71" s="58">
        <v>45310</v>
      </c>
      <c r="N71" s="58">
        <v>45327</v>
      </c>
      <c r="O71" s="58">
        <v>45328</v>
      </c>
      <c r="P71" s="58">
        <v>45315</v>
      </c>
      <c r="Q71" s="58">
        <v>45510</v>
      </c>
      <c r="R71" s="58" t="s">
        <v>1854</v>
      </c>
      <c r="S71" s="128" t="s">
        <v>1855</v>
      </c>
      <c r="T71" s="128" t="s">
        <v>1212</v>
      </c>
    </row>
    <row r="72" spans="2:20" s="40" customFormat="1">
      <c r="B72" s="8" t="s">
        <v>821</v>
      </c>
      <c r="C72" s="59" t="s">
        <v>822</v>
      </c>
      <c r="D72" s="60" t="s">
        <v>1856</v>
      </c>
      <c r="E72" s="59" t="s">
        <v>822</v>
      </c>
      <c r="F72" s="59" t="s">
        <v>1857</v>
      </c>
      <c r="G72" s="59"/>
      <c r="H72" s="59" t="s">
        <v>1858</v>
      </c>
      <c r="I72" s="59"/>
      <c r="J72" s="59" t="s">
        <v>1859</v>
      </c>
      <c r="K72" s="59" t="s">
        <v>1860</v>
      </c>
      <c r="L72" s="59"/>
      <c r="M72" s="59" t="s">
        <v>1861</v>
      </c>
      <c r="N72" s="59" t="s">
        <v>1860</v>
      </c>
      <c r="O72" s="59" t="s">
        <v>1861</v>
      </c>
      <c r="P72" s="60" t="s">
        <v>1862</v>
      </c>
      <c r="Q72" s="60"/>
      <c r="R72" s="60"/>
      <c r="S72" s="128" t="s">
        <v>82</v>
      </c>
      <c r="T72" s="128" t="s">
        <v>82</v>
      </c>
    </row>
    <row r="73" spans="2:20" s="40" customFormat="1">
      <c r="B73" s="8" t="s">
        <v>710</v>
      </c>
      <c r="C73" s="59" t="s">
        <v>825</v>
      </c>
      <c r="D73" s="59" t="s">
        <v>1213</v>
      </c>
      <c r="E73" s="59" t="s">
        <v>1215</v>
      </c>
      <c r="F73" s="59" t="s">
        <v>1216</v>
      </c>
      <c r="G73" s="59" t="s">
        <v>1214</v>
      </c>
      <c r="H73" s="59" t="s">
        <v>1220</v>
      </c>
      <c r="I73" s="59" t="s">
        <v>1863</v>
      </c>
      <c r="J73" s="59" t="s">
        <v>1864</v>
      </c>
      <c r="K73" s="59" t="s">
        <v>1863</v>
      </c>
      <c r="L73" s="59" t="s">
        <v>1218</v>
      </c>
      <c r="M73" s="59" t="s">
        <v>1213</v>
      </c>
      <c r="N73" s="59" t="s">
        <v>1220</v>
      </c>
      <c r="O73" s="59" t="s">
        <v>1218</v>
      </c>
      <c r="P73" s="59" t="s">
        <v>825</v>
      </c>
      <c r="Q73" s="59" t="s">
        <v>825</v>
      </c>
      <c r="R73" s="59" t="s">
        <v>1215</v>
      </c>
      <c r="S73" s="128" t="s">
        <v>1218</v>
      </c>
      <c r="T73" s="128" t="s">
        <v>1218</v>
      </c>
    </row>
    <row r="74" spans="2:20">
      <c r="S74" s="1"/>
      <c r="T74" s="1"/>
    </row>
    <row r="75" spans="2:20" s="40" customFormat="1"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</row>
    <row r="76" spans="2:20" s="36" customFormat="1">
      <c r="C76" s="36" t="s">
        <v>1865</v>
      </c>
    </row>
    <row r="77" spans="2:20">
      <c r="S77" s="1"/>
      <c r="T77" s="1"/>
    </row>
    <row r="78" spans="2:20">
      <c r="S78" s="1"/>
      <c r="T78" s="1"/>
    </row>
    <row r="79" spans="2:20">
      <c r="S79" s="1"/>
      <c r="T79" s="1"/>
    </row>
    <row r="80" spans="2:20">
      <c r="S80" s="1"/>
      <c r="T80" s="1"/>
    </row>
  </sheetData>
  <sheetProtection formatCells="0" formatColumns="0" formatRows="0" insertColumns="0" insertRows="0" insertHyperlinks="0" deleteColumns="0" deleteRows="0" pivotTables="0"/>
  <protectedRanges>
    <protectedRange algorithmName="SHA-512" hashValue="FFDl6+DQqly+UHQ4pISE5WlYWH27s79H8BUEJZgNEUSzbdeI8WUxAp2PG5D2CeD1oSy04vSZTMAEGPG+DxtI/A==" saltValue="X1CEYNaOApMatZTY9Hie9A==" spinCount="100000" sqref="N46 N48 N50:N51 N38 N36 N41:N43 N5:N13 O5:O12 G27:G66 N24:N29 N59:N66 M35:M66 N53:N57 K29 N23:O23 R15 R26 P5:P13 K31 K43 K40 P59:R66 P40:Q51 R57 R40:R41 R54 R49 P35:R38 P53:Q57 R43 H41:H66 K23:L23 K66 Q5:Q15 R5:R13 N16:N22 L15:L22 G5:G25 H5:H39 R17:R24 Q17:Q33 O14:O22 I5:L13 I40 I43 I31 I29 I23:I24 I54 B5:F66 K33 N31:N33 M5:M33 L24:L66 J14:J66 I33 R28:R33 P16:P33 O24:O66 R52" name="Range1" securityDescriptor="O:WDG:WDD:(A;;CC;;;S-1-5-21-2496373424-2134928991-926383051-63041)"/>
    <protectedRange algorithmName="SHA-512" hashValue="FFDl6+DQqly+UHQ4pISE5WlYWH27s79H8BUEJZgNEUSzbdeI8WUxAp2PG5D2CeD1oSy04vSZTMAEGPG+DxtI/A==" saltValue="X1CEYNaOApMatZTY9Hie9A==" spinCount="100000" sqref="I44 R44 I30" name="Range1_2" securityDescriptor="O:WDG:WDD:(A;;CC;;;S-1-5-21-2496373424-2134928991-926383051-63041)"/>
    <protectedRange algorithmName="SHA-512" hashValue="FFDl6+DQqly+UHQ4pISE5WlYWH27s79H8BUEJZgNEUSzbdeI8WUxAp2PG5D2CeD1oSy04vSZTMAEGPG+DxtI/A==" saltValue="X1CEYNaOApMatZTY9Hie9A==" spinCount="100000" sqref="I55:I65 I41 I25:I28 I32 I15:I22 R55:R56 R53 R25 R27 R50:R51 R34 R45:R48 I45:I53 I34:I39 Q16:R16" name="Range1_1_2" securityDescriptor="O:WDG:WDD:(A;;CC;;;S-1-5-21-2496373424-2134928991-926383051-63041)"/>
    <protectedRange algorithmName="SHA-512" hashValue="FFDl6+DQqly+UHQ4pISE5WlYWH27s79H8BUEJZgNEUSzbdeI8WUxAp2PG5D2CeD1oSy04vSZTMAEGPG+DxtI/A==" saltValue="X1CEYNaOApMatZTY9Hie9A==" spinCount="100000" sqref="N30 K30" name="Range1_3" securityDescriptor="O:WDG:WDD:(A;;CC;;;S-1-5-21-2496373424-2134928991-926383051-63041)"/>
    <protectedRange algorithmName="SHA-512" hashValue="FFDl6+DQqly+UHQ4pISE5WlYWH27s79H8BUEJZgNEUSzbdeI8WUxAp2PG5D2CeD1oSy04vSZTMAEGPG+DxtI/A==" saltValue="X1CEYNaOApMatZTY9Hie9A==" spinCount="100000" sqref="K44:K65 N34:N35 N58 N52 N44:N45 N49 N37 N47 N39:N40 K24:K28 K32 N14:N15 R14 L14 I42 M34 P14:P15 R42 P34:Q34 P52:Q52 P58:R58 P39:R39 K14:K22 H40 K41:K42 I14 K34:K39" name="Range1_1_3" securityDescriptor="O:WDG:WDD:(A;;CC;;;S-1-5-21-2496373424-2134928991-926383051-63041)"/>
  </protectedRanges>
  <phoneticPr fontId="10" type="noConversion"/>
  <pageMargins left="0.7" right="0.7" top="0.75" bottom="0.75" header="0.3" footer="0.3"/>
  <pageSetup paperSize="9" orientation="portrait" verticalDpi="4294967293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28267-2DED-4B83-9A2A-40F2AC6201E2}">
  <dimension ref="B2:F65"/>
  <sheetViews>
    <sheetView zoomScale="70" zoomScaleNormal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D25" sqref="D25"/>
    </sheetView>
  </sheetViews>
  <sheetFormatPr defaultColWidth="9" defaultRowHeight="15"/>
  <cols>
    <col min="1" max="1" width="3.5" style="1" customWidth="1"/>
    <col min="2" max="2" width="43.25" style="1" customWidth="1"/>
    <col min="3" max="3" width="96.25" style="1" customWidth="1"/>
    <col min="4" max="4" width="56" style="4" customWidth="1"/>
    <col min="5" max="5" width="31.5" style="4" customWidth="1"/>
    <col min="6" max="6" width="26.08203125" style="4" customWidth="1"/>
    <col min="7" max="7" width="13.5" style="1" bestFit="1" customWidth="1"/>
    <col min="8" max="16384" width="9" style="1"/>
  </cols>
  <sheetData>
    <row r="2" spans="2:6" ht="27">
      <c r="B2" s="3" t="s">
        <v>1866</v>
      </c>
    </row>
    <row r="5" spans="2:6" ht="52.5" customHeight="1">
      <c r="C5" s="18" t="s">
        <v>1867</v>
      </c>
      <c r="D5" s="19"/>
      <c r="E5" s="19"/>
      <c r="F5" s="19"/>
    </row>
    <row r="6" spans="2:6" ht="30.75" customHeight="1">
      <c r="C6" s="15"/>
      <c r="D6" s="15"/>
      <c r="E6" s="15"/>
      <c r="F6" s="15"/>
    </row>
    <row r="7" spans="2:6" ht="30.75" customHeight="1">
      <c r="B7" s="13" t="s">
        <v>260</v>
      </c>
      <c r="C7" s="17"/>
      <c r="D7" s="17"/>
      <c r="E7" s="17"/>
      <c r="F7" s="17"/>
    </row>
    <row r="8" spans="2:6">
      <c r="B8" s="5"/>
      <c r="C8" s="6"/>
      <c r="D8" s="7"/>
      <c r="E8" s="7"/>
      <c r="F8" s="7"/>
    </row>
    <row r="9" spans="2:6" ht="116.25" customHeight="1">
      <c r="B9" s="5" t="s">
        <v>1868</v>
      </c>
      <c r="C9" s="6"/>
      <c r="D9" s="7"/>
      <c r="E9" s="7"/>
      <c r="F9" s="7"/>
    </row>
    <row r="10" spans="2:6">
      <c r="B10" s="5"/>
      <c r="C10" s="6"/>
      <c r="D10" s="7"/>
      <c r="E10" s="7"/>
      <c r="F10" s="7"/>
    </row>
    <row r="11" spans="2:6">
      <c r="B11" s="5" t="s">
        <v>1869</v>
      </c>
      <c r="C11" s="6" t="s">
        <v>1870</v>
      </c>
      <c r="D11" s="7"/>
      <c r="E11" s="7"/>
      <c r="F11" s="7"/>
    </row>
    <row r="12" spans="2:6" ht="54.75" customHeight="1">
      <c r="B12" s="5" t="s">
        <v>1871</v>
      </c>
      <c r="C12" s="7" t="s">
        <v>1872</v>
      </c>
      <c r="D12" s="7"/>
      <c r="E12" s="7"/>
      <c r="F12" s="7"/>
    </row>
    <row r="13" spans="2:6" ht="54.75" customHeight="1">
      <c r="B13" s="5" t="s">
        <v>1873</v>
      </c>
      <c r="C13" s="7" t="s">
        <v>1874</v>
      </c>
      <c r="D13" s="7"/>
      <c r="E13" s="7"/>
      <c r="F13" s="7"/>
    </row>
    <row r="14" spans="2:6">
      <c r="B14" s="5" t="s">
        <v>1875</v>
      </c>
      <c r="C14" s="7" t="s">
        <v>1876</v>
      </c>
      <c r="D14" s="7"/>
      <c r="E14" s="7"/>
      <c r="F14" s="7"/>
    </row>
    <row r="15" spans="2:6" ht="14.25" customHeight="1">
      <c r="B15" s="5" t="s">
        <v>284</v>
      </c>
      <c r="C15" s="6" t="s">
        <v>1877</v>
      </c>
      <c r="D15" s="7"/>
      <c r="E15" s="7"/>
      <c r="F15" s="7"/>
    </row>
    <row r="16" spans="2:6">
      <c r="B16" s="5" t="s">
        <v>168</v>
      </c>
      <c r="C16" s="6" t="s">
        <v>1878</v>
      </c>
      <c r="D16" s="7"/>
      <c r="E16" s="7"/>
      <c r="F16" s="7"/>
    </row>
    <row r="17" spans="2:6">
      <c r="B17" s="5" t="s">
        <v>1879</v>
      </c>
      <c r="C17" s="6" t="s">
        <v>1880</v>
      </c>
      <c r="D17" s="7"/>
      <c r="E17" s="7"/>
      <c r="F17" s="7"/>
    </row>
    <row r="18" spans="2:6">
      <c r="B18" s="5" t="s">
        <v>1881</v>
      </c>
      <c r="C18" s="6"/>
      <c r="D18" s="7"/>
      <c r="E18" s="7"/>
      <c r="F18" s="7"/>
    </row>
    <row r="19" spans="2:6" ht="121.5" customHeight="1">
      <c r="B19" s="5" t="s">
        <v>1882</v>
      </c>
      <c r="C19" s="6"/>
      <c r="D19" s="7"/>
      <c r="E19" s="7"/>
      <c r="F19" s="7"/>
    </row>
    <row r="20" spans="2:6" ht="96.75" customHeight="1">
      <c r="B20" s="5" t="s">
        <v>1883</v>
      </c>
      <c r="C20" s="6"/>
      <c r="D20" s="7"/>
      <c r="E20" s="7"/>
      <c r="F20" s="7"/>
    </row>
    <row r="21" spans="2:6" ht="32.25" customHeight="1">
      <c r="B21" s="16" t="s">
        <v>1884</v>
      </c>
      <c r="C21" s="6"/>
      <c r="D21" s="7"/>
      <c r="E21" s="7"/>
      <c r="F21" s="7"/>
    </row>
    <row r="22" spans="2:6">
      <c r="B22" s="16" t="s">
        <v>1885</v>
      </c>
      <c r="C22" s="6"/>
      <c r="D22" s="7"/>
      <c r="E22" s="7"/>
      <c r="F22" s="7"/>
    </row>
    <row r="23" spans="2:6">
      <c r="B23" s="16" t="s">
        <v>1886</v>
      </c>
      <c r="C23" s="6"/>
      <c r="D23" s="7"/>
      <c r="E23" s="7"/>
      <c r="F23" s="7"/>
    </row>
    <row r="24" spans="2:6">
      <c r="B24" s="16" t="s">
        <v>1887</v>
      </c>
      <c r="C24" s="6"/>
      <c r="D24" s="7"/>
      <c r="E24" s="7"/>
      <c r="F24" s="7"/>
    </row>
    <row r="25" spans="2:6" ht="51.75" customHeight="1">
      <c r="B25" s="16" t="s">
        <v>1888</v>
      </c>
      <c r="C25" s="6"/>
      <c r="D25" s="7"/>
      <c r="E25" s="7"/>
      <c r="F25" s="7"/>
    </row>
    <row r="26" spans="2:6" ht="69.75" customHeight="1">
      <c r="B26" s="5" t="s">
        <v>1889</v>
      </c>
      <c r="C26" s="9"/>
      <c r="D26" s="10"/>
      <c r="E26" s="10"/>
      <c r="F26" s="10"/>
    </row>
    <row r="27" spans="2:6">
      <c r="B27" s="5" t="s">
        <v>206</v>
      </c>
      <c r="C27" s="9"/>
      <c r="D27" s="10"/>
      <c r="E27" s="10"/>
      <c r="F27" s="10"/>
    </row>
    <row r="28" spans="2:6">
      <c r="B28" s="5"/>
      <c r="C28" s="9"/>
      <c r="D28" s="10"/>
      <c r="E28" s="10"/>
      <c r="F28" s="10"/>
    </row>
    <row r="29" spans="2:6" ht="60" customHeight="1">
      <c r="B29" s="5" t="s">
        <v>1890</v>
      </c>
      <c r="C29" s="10"/>
      <c r="D29" s="10"/>
      <c r="E29" s="10"/>
      <c r="F29" s="10"/>
    </row>
    <row r="30" spans="2:6">
      <c r="B30" s="5" t="s">
        <v>1891</v>
      </c>
      <c r="C30" s="9"/>
      <c r="D30" s="10"/>
      <c r="E30" s="10"/>
      <c r="F30" s="10"/>
    </row>
    <row r="31" spans="2:6">
      <c r="B31" s="5" t="s">
        <v>494</v>
      </c>
      <c r="C31" s="9"/>
      <c r="D31" s="10"/>
      <c r="E31" s="10"/>
      <c r="F31" s="10"/>
    </row>
    <row r="32" spans="2:6">
      <c r="B32" s="5"/>
      <c r="C32" s="9"/>
      <c r="D32" s="10"/>
      <c r="E32" s="10"/>
      <c r="F32" s="10"/>
    </row>
    <row r="33" spans="2:6">
      <c r="B33" s="39" t="s">
        <v>1892</v>
      </c>
      <c r="C33" s="9"/>
      <c r="D33" s="10"/>
      <c r="E33" s="10"/>
      <c r="F33" s="10"/>
    </row>
    <row r="34" spans="2:6">
      <c r="B34" s="39" t="s">
        <v>1893</v>
      </c>
      <c r="C34" s="9"/>
      <c r="D34" s="10"/>
      <c r="E34" s="10"/>
      <c r="F34" s="10"/>
    </row>
    <row r="35" spans="2:6">
      <c r="B35" s="39" t="s">
        <v>1894</v>
      </c>
      <c r="C35" s="9"/>
      <c r="D35" s="10"/>
      <c r="E35" s="10"/>
      <c r="F35" s="10"/>
    </row>
    <row r="36" spans="2:6">
      <c r="B36" s="39" t="s">
        <v>1895</v>
      </c>
      <c r="C36" s="9"/>
      <c r="D36" s="10"/>
      <c r="E36" s="10"/>
      <c r="F36" s="10"/>
    </row>
    <row r="37" spans="2:6">
      <c r="B37" s="39" t="s">
        <v>1882</v>
      </c>
      <c r="C37" s="9"/>
      <c r="D37" s="10"/>
      <c r="E37" s="10"/>
      <c r="F37" s="10"/>
    </row>
    <row r="38" spans="2:6">
      <c r="B38" s="39" t="s">
        <v>1896</v>
      </c>
      <c r="C38" s="9"/>
      <c r="D38" s="10"/>
      <c r="E38" s="10"/>
      <c r="F38" s="10"/>
    </row>
    <row r="39" spans="2:6">
      <c r="B39" s="39" t="s">
        <v>238</v>
      </c>
      <c r="C39" s="9"/>
      <c r="D39" s="10"/>
      <c r="E39" s="10"/>
      <c r="F39" s="10"/>
    </row>
    <row r="40" spans="2:6">
      <c r="B40" s="39" t="s">
        <v>1897</v>
      </c>
      <c r="C40" s="9"/>
      <c r="D40" s="10"/>
      <c r="E40" s="10"/>
      <c r="F40" s="10"/>
    </row>
    <row r="41" spans="2:6">
      <c r="B41" s="39" t="s">
        <v>284</v>
      </c>
      <c r="C41" s="9"/>
      <c r="D41" s="10"/>
      <c r="E41" s="10"/>
      <c r="F41" s="10"/>
    </row>
    <row r="42" spans="2:6">
      <c r="B42" s="39" t="s">
        <v>168</v>
      </c>
      <c r="C42" s="9"/>
      <c r="D42" s="10"/>
      <c r="E42" s="10"/>
      <c r="F42" s="10"/>
    </row>
    <row r="43" spans="2:6">
      <c r="B43" s="39" t="s">
        <v>174</v>
      </c>
      <c r="C43" s="9"/>
      <c r="D43" s="10"/>
      <c r="E43" s="10"/>
      <c r="F43" s="10"/>
    </row>
    <row r="44" spans="2:6">
      <c r="B44" s="39" t="s">
        <v>1898</v>
      </c>
      <c r="C44" s="9"/>
      <c r="D44" s="10"/>
      <c r="E44" s="10"/>
      <c r="F44" s="10"/>
    </row>
    <row r="45" spans="2:6">
      <c r="B45" s="39" t="s">
        <v>1899</v>
      </c>
      <c r="C45" s="9"/>
      <c r="D45" s="10"/>
      <c r="E45" s="10"/>
      <c r="F45" s="10"/>
    </row>
    <row r="46" spans="2:6">
      <c r="B46" s="39" t="s">
        <v>1900</v>
      </c>
      <c r="C46" s="9"/>
      <c r="D46" s="10"/>
      <c r="E46" s="10"/>
      <c r="F46" s="10"/>
    </row>
    <row r="47" spans="2:6">
      <c r="B47" s="39" t="s">
        <v>1901</v>
      </c>
      <c r="C47" s="9"/>
      <c r="D47" s="10"/>
      <c r="E47" s="10"/>
      <c r="F47" s="10"/>
    </row>
    <row r="48" spans="2:6">
      <c r="B48" s="39" t="s">
        <v>1881</v>
      </c>
      <c r="C48" s="9"/>
      <c r="D48" s="10"/>
      <c r="E48" s="10"/>
      <c r="F48" s="10"/>
    </row>
    <row r="49" spans="2:6">
      <c r="B49" s="39" t="s">
        <v>1902</v>
      </c>
      <c r="C49" s="9"/>
      <c r="D49" s="10"/>
      <c r="E49" s="10"/>
      <c r="F49" s="10"/>
    </row>
    <row r="50" spans="2:6">
      <c r="B50" s="39" t="s">
        <v>1903</v>
      </c>
      <c r="C50" s="9"/>
      <c r="D50" s="10"/>
      <c r="E50" s="10"/>
      <c r="F50" s="10"/>
    </row>
    <row r="51" spans="2:6">
      <c r="B51" s="5"/>
      <c r="C51" s="9"/>
      <c r="D51" s="10"/>
      <c r="E51" s="10"/>
      <c r="F51" s="10"/>
    </row>
    <row r="52" spans="2:6">
      <c r="B52" s="5"/>
      <c r="C52" s="9"/>
      <c r="D52" s="10"/>
      <c r="E52" s="10"/>
      <c r="F52" s="10"/>
    </row>
    <row r="53" spans="2:6">
      <c r="B53" s="5"/>
      <c r="C53" s="9"/>
      <c r="D53" s="10"/>
      <c r="E53" s="10"/>
      <c r="F53" s="10"/>
    </row>
    <row r="54" spans="2:6">
      <c r="B54" s="5"/>
      <c r="C54" s="9"/>
      <c r="D54" s="10"/>
      <c r="E54" s="10"/>
      <c r="F54" s="10"/>
    </row>
    <row r="55" spans="2:6">
      <c r="B55" s="5"/>
      <c r="C55" s="9"/>
      <c r="D55" s="10"/>
      <c r="E55" s="10"/>
      <c r="F55" s="10"/>
    </row>
    <row r="56" spans="2:6">
      <c r="B56" s="5"/>
      <c r="C56" s="9"/>
      <c r="D56" s="10"/>
      <c r="E56" s="10"/>
      <c r="F56" s="10"/>
    </row>
    <row r="57" spans="2:6">
      <c r="B57" s="5"/>
      <c r="C57" s="9"/>
      <c r="D57" s="10"/>
      <c r="E57" s="10"/>
      <c r="F57" s="10"/>
    </row>
    <row r="58" spans="2:6">
      <c r="B58" s="5"/>
      <c r="C58" s="9"/>
      <c r="D58" s="10"/>
      <c r="E58" s="10"/>
      <c r="F58" s="10"/>
    </row>
    <row r="59" spans="2:6">
      <c r="B59" s="5"/>
      <c r="C59" s="9"/>
      <c r="D59" s="10"/>
      <c r="E59" s="10"/>
      <c r="F59" s="10"/>
    </row>
    <row r="60" spans="2:6">
      <c r="B60" s="5"/>
      <c r="C60" s="9"/>
      <c r="D60" s="10"/>
      <c r="E60" s="10"/>
      <c r="F60" s="10"/>
    </row>
    <row r="61" spans="2:6" ht="15.5">
      <c r="B61" s="20"/>
      <c r="C61" s="9"/>
      <c r="D61" s="10"/>
      <c r="E61" s="10"/>
      <c r="F61" s="10"/>
    </row>
    <row r="62" spans="2:6">
      <c r="B62" s="5"/>
      <c r="C62" s="9"/>
      <c r="D62" s="10"/>
      <c r="E62" s="10"/>
      <c r="F62" s="10"/>
    </row>
    <row r="63" spans="2:6">
      <c r="B63" s="5"/>
      <c r="C63" s="9"/>
      <c r="D63" s="10"/>
      <c r="E63" s="10"/>
      <c r="F63" s="10"/>
    </row>
    <row r="64" spans="2:6" ht="27" customHeight="1" thickBot="1">
      <c r="B64" s="8"/>
      <c r="C64" s="11"/>
      <c r="D64" s="12"/>
      <c r="E64" s="12"/>
      <c r="F64" s="12"/>
    </row>
    <row r="65" spans="2:6">
      <c r="B65" s="2"/>
      <c r="C65" s="2"/>
      <c r="D65" s="2"/>
      <c r="E65" s="2"/>
      <c r="F65" s="2"/>
    </row>
  </sheetData>
  <protectedRanges>
    <protectedRange algorithmName="SHA-512" hashValue="BxxURwrs+SG6qhN+RUAXueBfOtSlbNGsztiTZRxyIoCs9tweWTGwzrICskAfbuUZFcd2/41dWl6f8q9oOv5RTw==" saltValue="mfTzTJb+jVS9+3uTRt0V/Q==" spinCount="100000" sqref="B5:F64" name="Range1" securityDescriptor="O:WDG:WDD:(A;;CC;;;S-1-5-21-2496373424-2134928991-926383051-63041)"/>
  </protectedRanges>
  <phoneticPr fontId="10" type="noConversion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B14BD-A9AB-42AF-B1E7-EE4CC0500F3B}">
  <dimension ref="B1:J57"/>
  <sheetViews>
    <sheetView zoomScale="130" zoomScaleNormal="130" workbookViewId="0">
      <pane xSplit="2" ySplit="8" topLeftCell="D39" activePane="bottomRight" state="frozen"/>
      <selection pane="topRight" activeCell="C1" sqref="C1"/>
      <selection pane="bottomLeft" activeCell="A8" sqref="A8"/>
      <selection pane="bottomRight" activeCell="D39" sqref="D39"/>
    </sheetView>
  </sheetViews>
  <sheetFormatPr defaultColWidth="9" defaultRowHeight="15" customHeight="1"/>
  <cols>
    <col min="1" max="1" width="3.5" style="1" customWidth="1"/>
    <col min="2" max="2" width="43.25" style="1" customWidth="1"/>
    <col min="3" max="3" width="83.5" style="1" customWidth="1"/>
    <col min="4" max="4" width="67.75" style="1" bestFit="1" customWidth="1"/>
    <col min="5" max="5" width="67.5" style="1" customWidth="1"/>
    <col min="6" max="6" width="66.75" style="4" bestFit="1" customWidth="1"/>
    <col min="7" max="7" width="88.08203125" style="4" bestFit="1" customWidth="1"/>
    <col min="8" max="8" width="86.5" style="4" bestFit="1" customWidth="1"/>
    <col min="9" max="10" width="72.08203125" style="4" bestFit="1" customWidth="1"/>
    <col min="11" max="16384" width="9" style="1"/>
  </cols>
  <sheetData>
    <row r="1" spans="2:10"/>
    <row r="2" spans="2:10" ht="27">
      <c r="B2" s="3" t="s">
        <v>1904</v>
      </c>
      <c r="C2" s="3"/>
      <c r="D2" s="3"/>
    </row>
    <row r="3" spans="2:10"/>
    <row r="4" spans="2:10"/>
    <row r="5" spans="2:10" ht="30.75" customHeight="1">
      <c r="C5" s="14" t="s">
        <v>1905</v>
      </c>
      <c r="D5" s="14" t="s">
        <v>1905</v>
      </c>
      <c r="E5" s="14" t="s">
        <v>1225</v>
      </c>
      <c r="F5" s="14" t="s">
        <v>1906</v>
      </c>
      <c r="G5" s="14" t="s">
        <v>1227</v>
      </c>
      <c r="H5" s="14" t="s">
        <v>1230</v>
      </c>
      <c r="I5" s="14" t="s">
        <v>1230</v>
      </c>
      <c r="J5" s="14" t="s">
        <v>1907</v>
      </c>
    </row>
    <row r="6" spans="2:10" ht="30.75" customHeight="1">
      <c r="C6" s="15" t="s">
        <v>1908</v>
      </c>
      <c r="D6" s="15" t="s">
        <v>1909</v>
      </c>
      <c r="E6" s="15" t="s">
        <v>1910</v>
      </c>
      <c r="F6" s="15" t="s">
        <v>1911</v>
      </c>
      <c r="G6" s="15" t="s">
        <v>1912</v>
      </c>
      <c r="H6" s="15" t="s">
        <v>1913</v>
      </c>
      <c r="I6" s="15" t="s">
        <v>1914</v>
      </c>
      <c r="J6" s="15" t="s">
        <v>1915</v>
      </c>
    </row>
    <row r="7" spans="2:10" ht="30.75" customHeight="1">
      <c r="C7" s="15" t="s">
        <v>1916</v>
      </c>
      <c r="D7" s="15" t="s">
        <v>1916</v>
      </c>
      <c r="E7" s="15" t="s">
        <v>1917</v>
      </c>
      <c r="F7" s="15" t="s">
        <v>1917</v>
      </c>
      <c r="G7" s="15" t="s">
        <v>1918</v>
      </c>
      <c r="H7" s="15" t="s">
        <v>1259</v>
      </c>
      <c r="I7" s="15" t="s">
        <v>1919</v>
      </c>
      <c r="J7" s="15" t="s">
        <v>1919</v>
      </c>
    </row>
    <row r="8" spans="2:10" ht="30.75" customHeight="1">
      <c r="B8" s="13" t="s">
        <v>260</v>
      </c>
      <c r="C8" s="17"/>
      <c r="D8" s="17"/>
      <c r="E8" s="17" t="s">
        <v>1920</v>
      </c>
      <c r="F8" s="17" t="s">
        <v>1920</v>
      </c>
      <c r="G8" s="17"/>
      <c r="H8" s="17"/>
      <c r="I8" s="17"/>
      <c r="J8" s="17"/>
    </row>
    <row r="9" spans="2:10">
      <c r="B9" s="5"/>
      <c r="C9" s="33"/>
      <c r="D9" s="33"/>
      <c r="E9" s="6"/>
      <c r="F9" s="7"/>
      <c r="G9" s="7"/>
      <c r="H9" s="7"/>
      <c r="I9" s="7"/>
      <c r="J9" s="7"/>
    </row>
    <row r="10" spans="2:10" ht="116.25" customHeight="1">
      <c r="B10" s="5" t="s">
        <v>269</v>
      </c>
      <c r="C10" s="7" t="s">
        <v>1921</v>
      </c>
      <c r="D10" s="7" t="s">
        <v>1921</v>
      </c>
      <c r="E10" s="6" t="s">
        <v>1922</v>
      </c>
      <c r="F10" s="6" t="s">
        <v>1922</v>
      </c>
      <c r="G10" s="7"/>
      <c r="H10" s="7" t="s">
        <v>1265</v>
      </c>
      <c r="I10" s="7" t="s">
        <v>1265</v>
      </c>
      <c r="J10" s="7"/>
    </row>
    <row r="11" spans="2:10">
      <c r="B11" s="5"/>
      <c r="C11" s="6"/>
      <c r="D11" s="6"/>
      <c r="E11" s="6"/>
      <c r="F11" s="7"/>
      <c r="G11" s="7"/>
      <c r="H11" s="7"/>
      <c r="I11" s="7"/>
      <c r="J11" s="7"/>
    </row>
    <row r="12" spans="2:10" ht="39.75" customHeight="1">
      <c r="B12" s="5" t="s">
        <v>281</v>
      </c>
      <c r="C12" s="6" t="s">
        <v>1923</v>
      </c>
      <c r="D12" s="6" t="s">
        <v>1923</v>
      </c>
      <c r="E12" s="6" t="s">
        <v>1923</v>
      </c>
      <c r="F12" s="7" t="s">
        <v>1923</v>
      </c>
      <c r="G12" s="7" t="s">
        <v>1923</v>
      </c>
      <c r="H12" s="7" t="s">
        <v>1924</v>
      </c>
      <c r="I12" s="7" t="s">
        <v>1924</v>
      </c>
      <c r="J12" s="7" t="s">
        <v>1924</v>
      </c>
    </row>
    <row r="13" spans="2:10">
      <c r="B13" s="5"/>
      <c r="C13" s="6"/>
      <c r="D13" s="6"/>
      <c r="E13" s="6"/>
      <c r="F13" s="7"/>
      <c r="G13" s="7"/>
      <c r="H13" s="7"/>
      <c r="I13" s="7"/>
      <c r="J13" s="7"/>
    </row>
    <row r="14" spans="2:10" ht="81">
      <c r="B14" s="5" t="s">
        <v>284</v>
      </c>
      <c r="C14" s="43" t="s">
        <v>1925</v>
      </c>
      <c r="D14" s="43" t="s">
        <v>1926</v>
      </c>
      <c r="E14" s="43" t="s">
        <v>1927</v>
      </c>
      <c r="F14" s="43" t="s">
        <v>1928</v>
      </c>
      <c r="G14" s="10" t="s">
        <v>1929</v>
      </c>
      <c r="H14" s="10" t="s">
        <v>1930</v>
      </c>
      <c r="I14" s="10" t="s">
        <v>1931</v>
      </c>
      <c r="J14" s="10" t="s">
        <v>1931</v>
      </c>
    </row>
    <row r="15" spans="2:10">
      <c r="B15" s="5" t="s">
        <v>1932</v>
      </c>
      <c r="C15" s="9"/>
      <c r="D15" s="9"/>
      <c r="E15" s="10" t="s">
        <v>1933</v>
      </c>
      <c r="F15" s="10" t="s">
        <v>1934</v>
      </c>
      <c r="G15" s="10" t="s">
        <v>1935</v>
      </c>
      <c r="H15" s="10" t="s">
        <v>1935</v>
      </c>
      <c r="I15" s="10"/>
      <c r="J15" s="10"/>
    </row>
    <row r="16" spans="2:10" ht="40.5">
      <c r="B16" s="5" t="s">
        <v>615</v>
      </c>
      <c r="C16" s="21" t="s">
        <v>1936</v>
      </c>
      <c r="D16" s="21" t="s">
        <v>1937</v>
      </c>
      <c r="E16" s="21" t="s">
        <v>1938</v>
      </c>
      <c r="F16" s="21" t="s">
        <v>1939</v>
      </c>
      <c r="G16" s="21" t="s">
        <v>1937</v>
      </c>
      <c r="H16" s="21" t="s">
        <v>1937</v>
      </c>
      <c r="I16" s="21" t="s">
        <v>1940</v>
      </c>
      <c r="J16" s="21" t="s">
        <v>1940</v>
      </c>
    </row>
    <row r="17" spans="2:10">
      <c r="B17" s="5" t="s">
        <v>306</v>
      </c>
      <c r="C17" s="41" t="s">
        <v>771</v>
      </c>
      <c r="D17" s="41" t="s">
        <v>768</v>
      </c>
      <c r="E17" s="41" t="s">
        <v>768</v>
      </c>
      <c r="F17" s="41" t="s">
        <v>768</v>
      </c>
      <c r="G17" s="41" t="s">
        <v>768</v>
      </c>
      <c r="H17" s="41" t="s">
        <v>768</v>
      </c>
      <c r="I17" s="41" t="s">
        <v>768</v>
      </c>
      <c r="J17" s="41" t="s">
        <v>768</v>
      </c>
    </row>
    <row r="18" spans="2:10">
      <c r="B18" s="5"/>
      <c r="C18" s="9"/>
      <c r="D18" s="9"/>
      <c r="E18" s="9"/>
      <c r="F18" s="10"/>
      <c r="G18" s="10"/>
      <c r="H18" s="10"/>
      <c r="I18" s="10"/>
      <c r="J18" s="10"/>
    </row>
    <row r="19" spans="2:10" ht="40.5">
      <c r="B19" s="5" t="s">
        <v>308</v>
      </c>
      <c r="C19" s="10" t="s">
        <v>1941</v>
      </c>
      <c r="D19" s="9" t="s">
        <v>1942</v>
      </c>
      <c r="E19" s="10" t="s">
        <v>1943</v>
      </c>
      <c r="F19" s="10" t="s">
        <v>1944</v>
      </c>
      <c r="G19" s="10" t="s">
        <v>1945</v>
      </c>
      <c r="H19" s="10" t="s">
        <v>1946</v>
      </c>
      <c r="I19" s="10" t="s">
        <v>1947</v>
      </c>
      <c r="J19" s="10" t="s">
        <v>1948</v>
      </c>
    </row>
    <row r="20" spans="2:10" s="29" customFormat="1" ht="40.5">
      <c r="B20" s="42" t="s">
        <v>1949</v>
      </c>
      <c r="C20" s="21" t="s">
        <v>1950</v>
      </c>
      <c r="D20" s="21" t="s">
        <v>1951</v>
      </c>
      <c r="E20" s="21" t="s">
        <v>1952</v>
      </c>
      <c r="F20" s="21" t="s">
        <v>1953</v>
      </c>
      <c r="G20" s="21" t="s">
        <v>1954</v>
      </c>
      <c r="H20" s="21" t="s">
        <v>1955</v>
      </c>
      <c r="I20" s="21" t="s">
        <v>1956</v>
      </c>
      <c r="J20" s="21" t="s">
        <v>1957</v>
      </c>
    </row>
    <row r="21" spans="2:10">
      <c r="B21" s="16" t="s">
        <v>1036</v>
      </c>
      <c r="C21" s="41" t="s">
        <v>768</v>
      </c>
      <c r="D21" s="41" t="s">
        <v>768</v>
      </c>
      <c r="E21" s="41" t="s">
        <v>768</v>
      </c>
      <c r="F21" s="41" t="s">
        <v>768</v>
      </c>
      <c r="G21" s="41" t="s">
        <v>768</v>
      </c>
      <c r="H21" s="41" t="s">
        <v>768</v>
      </c>
      <c r="I21" s="41" t="s">
        <v>768</v>
      </c>
      <c r="J21" s="41" t="s">
        <v>768</v>
      </c>
    </row>
    <row r="22" spans="2:10">
      <c r="B22" s="16" t="s">
        <v>1040</v>
      </c>
      <c r="C22" s="41" t="s">
        <v>768</v>
      </c>
      <c r="D22" s="41" t="s">
        <v>768</v>
      </c>
      <c r="E22" s="41" t="s">
        <v>768</v>
      </c>
      <c r="F22" s="41" t="s">
        <v>768</v>
      </c>
      <c r="G22" s="41" t="s">
        <v>768</v>
      </c>
      <c r="H22" s="41" t="s">
        <v>768</v>
      </c>
      <c r="I22" s="41" t="s">
        <v>768</v>
      </c>
      <c r="J22" s="41" t="s">
        <v>768</v>
      </c>
    </row>
    <row r="23" spans="2:10">
      <c r="B23" s="23" t="s">
        <v>1061</v>
      </c>
      <c r="C23" s="41" t="s">
        <v>768</v>
      </c>
      <c r="D23" s="41" t="s">
        <v>768</v>
      </c>
      <c r="E23" s="41" t="s">
        <v>768</v>
      </c>
      <c r="F23" s="41" t="s">
        <v>768</v>
      </c>
      <c r="G23" s="41" t="s">
        <v>768</v>
      </c>
      <c r="H23" s="41" t="s">
        <v>768</v>
      </c>
      <c r="I23" s="41" t="s">
        <v>768</v>
      </c>
      <c r="J23" s="41" t="s">
        <v>768</v>
      </c>
    </row>
    <row r="24" spans="2:10">
      <c r="B24" s="23" t="s">
        <v>759</v>
      </c>
      <c r="C24" s="41" t="s">
        <v>768</v>
      </c>
      <c r="D24" s="41" t="s">
        <v>768</v>
      </c>
      <c r="E24" s="41" t="s">
        <v>768</v>
      </c>
      <c r="F24" s="41" t="s">
        <v>768</v>
      </c>
      <c r="G24" s="41" t="s">
        <v>768</v>
      </c>
      <c r="H24" s="41" t="s">
        <v>768</v>
      </c>
      <c r="I24" s="41" t="s">
        <v>768</v>
      </c>
      <c r="J24" s="41" t="s">
        <v>768</v>
      </c>
    </row>
    <row r="25" spans="2:10">
      <c r="B25" s="5"/>
      <c r="C25" s="9"/>
      <c r="D25" s="9"/>
      <c r="E25" s="9"/>
      <c r="F25" s="10"/>
      <c r="G25" s="10"/>
      <c r="H25" s="10"/>
      <c r="I25" s="10"/>
      <c r="J25" s="10"/>
    </row>
    <row r="26" spans="2:10" ht="27">
      <c r="B26" s="5" t="s">
        <v>1958</v>
      </c>
      <c r="C26" s="10" t="s">
        <v>1959</v>
      </c>
      <c r="D26" s="10" t="s">
        <v>1310</v>
      </c>
      <c r="E26" s="10" t="s">
        <v>1960</v>
      </c>
      <c r="F26" s="10" t="s">
        <v>1310</v>
      </c>
      <c r="G26" s="10" t="s">
        <v>1310</v>
      </c>
      <c r="H26" s="10" t="s">
        <v>1310</v>
      </c>
      <c r="I26" s="10" t="s">
        <v>1310</v>
      </c>
      <c r="J26" s="10" t="s">
        <v>1310</v>
      </c>
    </row>
    <row r="27" spans="2:10">
      <c r="B27" s="5" t="s">
        <v>1961</v>
      </c>
      <c r="C27" s="41" t="s">
        <v>1962</v>
      </c>
      <c r="D27" s="9" t="s">
        <v>1963</v>
      </c>
      <c r="E27" s="9" t="s">
        <v>1963</v>
      </c>
      <c r="F27" s="9" t="s">
        <v>1963</v>
      </c>
      <c r="G27" s="9" t="s">
        <v>1963</v>
      </c>
      <c r="H27" s="9" t="s">
        <v>1964</v>
      </c>
      <c r="I27" s="9" t="s">
        <v>1964</v>
      </c>
      <c r="J27" s="9" t="s">
        <v>1962</v>
      </c>
    </row>
    <row r="28" spans="2:10">
      <c r="B28" s="5"/>
      <c r="C28" s="9"/>
      <c r="D28" s="9"/>
      <c r="F28" s="10"/>
      <c r="G28" s="10"/>
      <c r="H28" s="10"/>
      <c r="I28" s="10"/>
      <c r="J28" s="10"/>
    </row>
    <row r="29" spans="2:10" ht="40.5">
      <c r="B29" s="5" t="s">
        <v>645</v>
      </c>
      <c r="C29" s="10" t="s">
        <v>1965</v>
      </c>
      <c r="D29" s="10" t="s">
        <v>1965</v>
      </c>
      <c r="E29" s="10" t="s">
        <v>1966</v>
      </c>
      <c r="F29" s="10" t="s">
        <v>1966</v>
      </c>
      <c r="G29" s="10" t="s">
        <v>1967</v>
      </c>
      <c r="H29" s="10" t="s">
        <v>1968</v>
      </c>
      <c r="I29" s="10" t="s">
        <v>1969</v>
      </c>
      <c r="J29" s="10" t="s">
        <v>1969</v>
      </c>
    </row>
    <row r="30" spans="2:10" s="36" customFormat="1" ht="37.5" customHeight="1">
      <c r="B30" s="5" t="s">
        <v>651</v>
      </c>
      <c r="C30" s="9">
        <v>2</v>
      </c>
      <c r="D30" s="9">
        <v>2</v>
      </c>
      <c r="E30" s="10">
        <v>4</v>
      </c>
      <c r="F30" s="10">
        <v>4</v>
      </c>
      <c r="G30" s="10">
        <v>2</v>
      </c>
      <c r="H30" s="10">
        <v>2</v>
      </c>
      <c r="I30" s="10">
        <v>2</v>
      </c>
      <c r="J30" s="10">
        <v>2</v>
      </c>
    </row>
    <row r="31" spans="2:10" s="4" customFormat="1" ht="40.5">
      <c r="B31" s="5" t="s">
        <v>174</v>
      </c>
      <c r="C31" s="10" t="s">
        <v>1970</v>
      </c>
      <c r="D31" s="10" t="s">
        <v>1970</v>
      </c>
      <c r="E31" s="10" t="s">
        <v>1971</v>
      </c>
      <c r="F31" s="10" t="s">
        <v>1972</v>
      </c>
      <c r="G31" s="10" t="s">
        <v>1973</v>
      </c>
      <c r="H31" s="10" t="s">
        <v>1974</v>
      </c>
      <c r="I31" s="10" t="s">
        <v>1974</v>
      </c>
      <c r="J31" s="10" t="s">
        <v>1975</v>
      </c>
    </row>
    <row r="32" spans="2:10" s="4" customFormat="1">
      <c r="B32" s="5" t="s">
        <v>1976</v>
      </c>
      <c r="C32" s="10">
        <v>2</v>
      </c>
      <c r="D32" s="10">
        <v>2</v>
      </c>
      <c r="E32" s="10">
        <v>2</v>
      </c>
      <c r="F32" s="10">
        <v>2</v>
      </c>
      <c r="G32" s="10"/>
      <c r="H32" s="10">
        <v>2</v>
      </c>
      <c r="I32" s="10">
        <v>2</v>
      </c>
      <c r="J32" s="10">
        <v>2</v>
      </c>
    </row>
    <row r="33" spans="2:10">
      <c r="B33" s="5"/>
      <c r="C33" s="9"/>
      <c r="D33" s="9"/>
      <c r="E33" s="10"/>
      <c r="F33" s="10"/>
      <c r="G33" s="10"/>
      <c r="H33" s="10"/>
      <c r="I33" s="10"/>
      <c r="J33" s="10"/>
    </row>
    <row r="34" spans="2:10">
      <c r="B34" s="5" t="s">
        <v>663</v>
      </c>
      <c r="C34" s="9" t="s">
        <v>1977</v>
      </c>
      <c r="D34" s="9" t="s">
        <v>1977</v>
      </c>
      <c r="E34" s="10" t="s">
        <v>423</v>
      </c>
      <c r="F34" s="10" t="s">
        <v>423</v>
      </c>
      <c r="G34" s="10"/>
      <c r="H34" s="10" t="s">
        <v>1978</v>
      </c>
      <c r="I34" s="10" t="s">
        <v>1978</v>
      </c>
      <c r="J34" s="10" t="s">
        <v>1978</v>
      </c>
    </row>
    <row r="35" spans="2:10" s="36" customFormat="1" ht="40.5" customHeight="1">
      <c r="B35" s="5" t="s">
        <v>667</v>
      </c>
      <c r="C35" s="10" t="s">
        <v>1979</v>
      </c>
      <c r="D35" s="9" t="s">
        <v>413</v>
      </c>
      <c r="E35" s="10" t="s">
        <v>1980</v>
      </c>
      <c r="F35" s="10" t="s">
        <v>1980</v>
      </c>
      <c r="G35" s="10" t="s">
        <v>1980</v>
      </c>
      <c r="H35" s="10" t="s">
        <v>1980</v>
      </c>
      <c r="I35" s="10" t="s">
        <v>1980</v>
      </c>
      <c r="J35" s="9" t="s">
        <v>413</v>
      </c>
    </row>
    <row r="36" spans="2:10" s="36" customFormat="1">
      <c r="B36" s="5" t="s">
        <v>205</v>
      </c>
      <c r="C36" s="9">
        <v>5</v>
      </c>
      <c r="D36" s="9">
        <v>5</v>
      </c>
      <c r="E36" s="10">
        <v>5</v>
      </c>
      <c r="F36" s="10">
        <v>5</v>
      </c>
      <c r="G36" s="10">
        <v>5</v>
      </c>
      <c r="H36" s="10">
        <v>5</v>
      </c>
      <c r="I36" s="10">
        <v>5</v>
      </c>
      <c r="J36" s="10">
        <v>5</v>
      </c>
    </row>
    <row r="37" spans="2:10">
      <c r="B37" s="5"/>
      <c r="C37" s="9"/>
      <c r="D37" s="9"/>
      <c r="E37" s="10"/>
      <c r="F37" s="10"/>
      <c r="G37" s="10"/>
      <c r="H37" s="10"/>
      <c r="I37" s="10"/>
      <c r="J37" s="10"/>
    </row>
    <row r="38" spans="2:10" s="36" customFormat="1" ht="27">
      <c r="B38" s="5" t="s">
        <v>435</v>
      </c>
      <c r="C38" s="9" t="s">
        <v>1981</v>
      </c>
      <c r="D38" s="9" t="s">
        <v>1981</v>
      </c>
      <c r="E38" s="10" t="s">
        <v>1982</v>
      </c>
      <c r="F38" s="10" t="s">
        <v>1983</v>
      </c>
      <c r="G38" s="10" t="s">
        <v>1984</v>
      </c>
      <c r="H38" s="10" t="s">
        <v>1346</v>
      </c>
      <c r="I38" s="10" t="s">
        <v>1985</v>
      </c>
      <c r="J38" s="10" t="s">
        <v>1986</v>
      </c>
    </row>
    <row r="39" spans="2:10" ht="186.75" customHeight="1">
      <c r="B39" s="5" t="s">
        <v>676</v>
      </c>
      <c r="C39" s="10" t="s">
        <v>1987</v>
      </c>
      <c r="D39" s="10" t="s">
        <v>1988</v>
      </c>
      <c r="E39" s="10" t="s">
        <v>1989</v>
      </c>
      <c r="F39" s="10" t="s">
        <v>1990</v>
      </c>
      <c r="G39" s="10" t="s">
        <v>1991</v>
      </c>
      <c r="H39" s="10" t="s">
        <v>1992</v>
      </c>
      <c r="I39" s="10" t="s">
        <v>1993</v>
      </c>
      <c r="J39" s="10" t="s">
        <v>1994</v>
      </c>
    </row>
    <row r="40" spans="2:10" ht="66.75" customHeight="1">
      <c r="B40" s="5" t="s">
        <v>681</v>
      </c>
      <c r="C40" s="10" t="s">
        <v>1995</v>
      </c>
      <c r="D40" s="10" t="s">
        <v>1995</v>
      </c>
      <c r="E40" s="10" t="s">
        <v>1996</v>
      </c>
      <c r="F40" s="10" t="s">
        <v>1996</v>
      </c>
      <c r="G40" s="10" t="s">
        <v>1997</v>
      </c>
      <c r="H40" s="10" t="s">
        <v>1361</v>
      </c>
      <c r="I40" s="10" t="s">
        <v>1995</v>
      </c>
      <c r="J40" s="10" t="s">
        <v>1995</v>
      </c>
    </row>
    <row r="41" spans="2:10">
      <c r="B41" s="5" t="s">
        <v>685</v>
      </c>
      <c r="C41" s="9" t="s">
        <v>1998</v>
      </c>
      <c r="D41" s="9" t="s">
        <v>1998</v>
      </c>
      <c r="E41" s="10" t="s">
        <v>1999</v>
      </c>
      <c r="F41" s="10" t="s">
        <v>1999</v>
      </c>
      <c r="G41" s="10"/>
      <c r="H41" s="9" t="s">
        <v>1364</v>
      </c>
      <c r="I41" s="9" t="s">
        <v>1364</v>
      </c>
      <c r="J41" s="9" t="s">
        <v>1364</v>
      </c>
    </row>
    <row r="42" spans="2:10">
      <c r="B42" s="5" t="s">
        <v>688</v>
      </c>
      <c r="C42" s="9" t="s">
        <v>689</v>
      </c>
      <c r="D42" s="9" t="s">
        <v>689</v>
      </c>
      <c r="E42" s="10" t="s">
        <v>689</v>
      </c>
      <c r="F42" s="10" t="s">
        <v>689</v>
      </c>
      <c r="G42" s="10" t="s">
        <v>689</v>
      </c>
      <c r="H42" s="10" t="s">
        <v>689</v>
      </c>
      <c r="I42" s="10" t="s">
        <v>689</v>
      </c>
      <c r="J42" s="10" t="s">
        <v>689</v>
      </c>
    </row>
    <row r="43" spans="2:10" ht="40.5">
      <c r="B43" s="5" t="s">
        <v>473</v>
      </c>
      <c r="C43" s="9" t="s">
        <v>2000</v>
      </c>
      <c r="D43" s="9" t="s">
        <v>2001</v>
      </c>
      <c r="E43" s="10" t="s">
        <v>1365</v>
      </c>
      <c r="F43" s="10" t="s">
        <v>1365</v>
      </c>
      <c r="G43" s="10" t="s">
        <v>1365</v>
      </c>
      <c r="H43" s="10" t="s">
        <v>1365</v>
      </c>
      <c r="I43" s="10" t="s">
        <v>2002</v>
      </c>
      <c r="J43" s="10" t="s">
        <v>2002</v>
      </c>
    </row>
    <row r="44" spans="2:10">
      <c r="B44" s="5" t="s">
        <v>801</v>
      </c>
      <c r="C44" s="41" t="s">
        <v>1367</v>
      </c>
      <c r="D44" s="41" t="s">
        <v>1367</v>
      </c>
      <c r="E44" s="41" t="s">
        <v>1367</v>
      </c>
      <c r="F44" s="41" t="s">
        <v>1367</v>
      </c>
      <c r="G44" s="41" t="s">
        <v>1367</v>
      </c>
      <c r="H44" s="41" t="s">
        <v>1367</v>
      </c>
      <c r="I44" s="41" t="s">
        <v>1367</v>
      </c>
      <c r="J44" s="41" t="s">
        <v>1367</v>
      </c>
    </row>
    <row r="45" spans="2:10">
      <c r="B45" s="5"/>
      <c r="C45" s="9"/>
      <c r="D45" s="9"/>
      <c r="E45" s="9"/>
      <c r="F45" s="10"/>
      <c r="G45" s="10"/>
      <c r="H45" s="10"/>
      <c r="I45" s="21"/>
      <c r="J45" s="21"/>
    </row>
    <row r="46" spans="2:10">
      <c r="B46" s="5" t="s">
        <v>695</v>
      </c>
      <c r="C46" s="9" t="s">
        <v>237</v>
      </c>
      <c r="D46" s="9" t="s">
        <v>237</v>
      </c>
      <c r="E46" s="9" t="s">
        <v>237</v>
      </c>
      <c r="F46" s="9" t="s">
        <v>237</v>
      </c>
      <c r="G46" s="9" t="s">
        <v>237</v>
      </c>
      <c r="H46" s="9" t="s">
        <v>237</v>
      </c>
      <c r="I46" s="41" t="s">
        <v>237</v>
      </c>
      <c r="J46" s="41" t="s">
        <v>237</v>
      </c>
    </row>
    <row r="47" spans="2:10">
      <c r="B47" s="5" t="s">
        <v>494</v>
      </c>
      <c r="C47" s="9" t="s">
        <v>2003</v>
      </c>
      <c r="D47" s="9" t="s">
        <v>2004</v>
      </c>
      <c r="E47" s="9" t="s">
        <v>1369</v>
      </c>
      <c r="F47" s="10" t="s">
        <v>2005</v>
      </c>
      <c r="G47" s="10" t="s">
        <v>1371</v>
      </c>
      <c r="H47" s="10" t="s">
        <v>1374</v>
      </c>
      <c r="I47" s="21" t="s">
        <v>1374</v>
      </c>
      <c r="J47" s="21" t="s">
        <v>1369</v>
      </c>
    </row>
    <row r="48" spans="2:10">
      <c r="B48" s="5" t="s">
        <v>223</v>
      </c>
      <c r="C48" s="9" t="s">
        <v>2006</v>
      </c>
      <c r="D48" s="9" t="s">
        <v>2006</v>
      </c>
      <c r="E48" s="9" t="s">
        <v>2007</v>
      </c>
      <c r="F48" s="9" t="s">
        <v>2008</v>
      </c>
      <c r="G48" s="9" t="s">
        <v>2009</v>
      </c>
      <c r="H48" s="9" t="s">
        <v>1381</v>
      </c>
      <c r="I48" s="9" t="s">
        <v>2010</v>
      </c>
      <c r="J48" s="9" t="s">
        <v>2010</v>
      </c>
    </row>
    <row r="49" spans="2:10">
      <c r="B49" s="5" t="s">
        <v>701</v>
      </c>
      <c r="C49" s="9" t="s">
        <v>2011</v>
      </c>
      <c r="D49" s="9" t="s">
        <v>2011</v>
      </c>
      <c r="E49" s="9" t="s">
        <v>2012</v>
      </c>
      <c r="F49" s="9" t="s">
        <v>2012</v>
      </c>
      <c r="G49" s="9" t="s">
        <v>1383</v>
      </c>
      <c r="H49" s="9" t="s">
        <v>1383</v>
      </c>
      <c r="I49" s="9" t="s">
        <v>2013</v>
      </c>
      <c r="J49" s="9" t="s">
        <v>2013</v>
      </c>
    </row>
    <row r="50" spans="2:10">
      <c r="B50" s="5"/>
      <c r="C50" s="9"/>
      <c r="D50" s="9"/>
      <c r="E50" s="9"/>
      <c r="F50" s="10"/>
      <c r="G50" s="10"/>
      <c r="H50" s="10"/>
      <c r="I50" s="21"/>
      <c r="J50" s="21"/>
    </row>
    <row r="51" spans="2:10" ht="27" customHeight="1" thickBot="1">
      <c r="B51" s="8"/>
      <c r="C51" s="22"/>
      <c r="D51" s="22"/>
      <c r="E51" s="37"/>
      <c r="F51" s="22"/>
      <c r="G51" s="22"/>
      <c r="H51" s="22"/>
      <c r="I51" s="22"/>
      <c r="J51" s="22"/>
    </row>
    <row r="52" spans="2:10">
      <c r="B52" s="2"/>
      <c r="C52" s="34"/>
      <c r="D52" s="34"/>
      <c r="E52" s="34"/>
      <c r="F52" s="34"/>
      <c r="G52" s="34"/>
      <c r="H52" s="34"/>
      <c r="I52" s="34"/>
      <c r="J52" s="34"/>
    </row>
    <row r="53" spans="2:10">
      <c r="B53" s="12" t="s">
        <v>526</v>
      </c>
      <c r="C53" s="35">
        <v>45382</v>
      </c>
      <c r="D53" s="35">
        <v>45382</v>
      </c>
      <c r="E53" s="35">
        <v>45290</v>
      </c>
      <c r="F53" s="35">
        <v>45321</v>
      </c>
      <c r="G53" s="35">
        <v>45321</v>
      </c>
      <c r="H53" s="35">
        <v>45247</v>
      </c>
      <c r="I53" s="35">
        <v>45205</v>
      </c>
      <c r="J53" s="35">
        <v>45205</v>
      </c>
    </row>
    <row r="54" spans="2:10">
      <c r="B54" s="12" t="s">
        <v>821</v>
      </c>
      <c r="C54" s="22" t="s">
        <v>2014</v>
      </c>
      <c r="D54" s="22" t="s">
        <v>2014</v>
      </c>
      <c r="E54" s="22" t="s">
        <v>2015</v>
      </c>
      <c r="F54" s="22" t="s">
        <v>2016</v>
      </c>
      <c r="G54" s="22" t="s">
        <v>1861</v>
      </c>
      <c r="H54" s="22" t="s">
        <v>2015</v>
      </c>
      <c r="I54" s="22" t="s">
        <v>2017</v>
      </c>
      <c r="J54" s="22" t="s">
        <v>2018</v>
      </c>
    </row>
    <row r="55" spans="2:10">
      <c r="B55" s="12" t="s">
        <v>710</v>
      </c>
      <c r="C55" s="22" t="s">
        <v>1390</v>
      </c>
      <c r="D55" s="22" t="s">
        <v>2019</v>
      </c>
      <c r="E55" s="22" t="s">
        <v>2020</v>
      </c>
      <c r="F55" s="22" t="s">
        <v>2020</v>
      </c>
      <c r="G55" s="22" t="s">
        <v>2021</v>
      </c>
      <c r="H55" s="22" t="s">
        <v>2022</v>
      </c>
      <c r="I55" s="22" t="s">
        <v>2021</v>
      </c>
      <c r="J55" s="22" t="s">
        <v>2021</v>
      </c>
    </row>
    <row r="56" spans="2:10">
      <c r="B56" s="12"/>
      <c r="C56" s="22"/>
      <c r="D56" s="22"/>
      <c r="E56" s="38"/>
      <c r="F56" s="38"/>
      <c r="G56" s="38"/>
      <c r="H56" s="38"/>
      <c r="I56" s="38"/>
      <c r="J56" s="38"/>
    </row>
    <row r="57" spans="2:10">
      <c r="C57" s="36"/>
      <c r="D57" s="36"/>
      <c r="E57" s="36"/>
      <c r="F57" s="36"/>
      <c r="G57" s="36"/>
      <c r="H57" s="36"/>
      <c r="I57" s="36"/>
      <c r="J57" s="36"/>
    </row>
  </sheetData>
  <protectedRanges>
    <protectedRange algorithmName="SHA-512" hashValue="BxxURwrs+SG6qhN+RUAXueBfOtSlbNGsztiTZRxyIoCs9tweWTGwzrICskAfbuUZFcd2/41dWl6f8q9oOv5RTw==" saltValue="mfTzTJb+jVS9+3uTRt0V/Q==" spinCount="100000" sqref="D16 D20:E20 C5:J15 E25:E27 E29 F25:J30 C21:J24 B25:D30 B5:B22 C17:E19 F16:J20 B31:J51" name="Range1" securityDescriptor="O:WDG:WDD:(A;;CC;;;S-1-5-21-2496373424-2134928991-926383051-63041)"/>
    <protectedRange algorithmName="SHA-512" hashValue="FFDl6+DQqly+UHQ4pISE5WlYWH27s79H8BUEJZgNEUSzbdeI8WUxAp2PG5D2CeD1oSy04vSZTMAEGPG+DxtI/A==" saltValue="X1CEYNaOApMatZTY9Hie9A==" spinCount="100000" sqref="B23:B24" name="Range1_1" securityDescriptor="O:WDG:WDD:(A;;CC;;;S-1-5-21-2496373424-2134928991-926383051-63041)"/>
    <protectedRange algorithmName="SHA-512" hashValue="FFDl6+DQqly+UHQ4pISE5WlYWH27s79H8BUEJZgNEUSzbdeI8WUxAp2PG5D2CeD1oSy04vSZTMAEGPG+DxtI/A==" saltValue="X1CEYNaOApMatZTY9Hie9A==" spinCount="100000" sqref="E30" name="Range1_1_3" securityDescriptor="O:WDG:WDD:(A;;CC;;;S-1-5-21-2496373424-2134928991-926383051-63041)"/>
  </protectedRanges>
  <phoneticPr fontId="10" type="noConversion"/>
  <pageMargins left="0.7" right="0.7" top="0.75" bottom="0.75" header="0.3" footer="0.3"/>
  <pageSetup paperSize="9" orientation="portrait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867CC7AD04CB439534FD55899B3A70" ma:contentTypeVersion="19" ma:contentTypeDescription="Create a new document." ma:contentTypeScope="" ma:versionID="3099cd44ab1e728046133c6fcbb6c0e8">
  <xsd:schema xmlns:xsd="http://www.w3.org/2001/XMLSchema" xmlns:xs="http://www.w3.org/2001/XMLSchema" xmlns:p="http://schemas.microsoft.com/office/2006/metadata/properties" xmlns:ns2="73e091b6-384d-46a0-ae78-d4bace000235" xmlns:ns3="7e2ede79-5c6f-4105-b132-a8685467d1af" targetNamespace="http://schemas.microsoft.com/office/2006/metadata/properties" ma:root="true" ma:fieldsID="9479be27b486bfeb6c396af5f23c2a39" ns2:_="" ns3:_="">
    <xsd:import namespace="73e091b6-384d-46a0-ae78-d4bace000235"/>
    <xsd:import namespace="7e2ede79-5c6f-4105-b132-a8685467d1a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e091b6-384d-46a0-ae78-d4bace00023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f091c8e-b823-482e-8520-0bffc5f97b87}" ma:internalName="TaxCatchAll" ma:showField="CatchAllData" ma:web="73e091b6-384d-46a0-ae78-d4bace0002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ede79-5c6f-4105-b132-a8685467d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ffe898-4ad3-4885-a17c-9d16dcb1b4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e091b6-384d-46a0-ae78-d4bace000235" xsi:nil="true"/>
    <lcf76f155ced4ddcb4097134ff3c332f xmlns="7e2ede79-5c6f-4105-b132-a8685467d1af">
      <Terms xmlns="http://schemas.microsoft.com/office/infopath/2007/PartnerControls"/>
    </lcf76f155ced4ddcb4097134ff3c332f>
    <SharedWithUsers xmlns="73e091b6-384d-46a0-ae78-d4bace000235">
      <UserInfo>
        <DisplayName>Lin, Daphne CT</DisplayName>
        <AccountId>5892</AccountId>
        <AccountType/>
      </UserInfo>
      <UserInfo>
        <DisplayName>Lu, Jason</DisplayName>
        <AccountId>11369</AccountId>
        <AccountType/>
      </UserInfo>
      <UserInfo>
        <DisplayName>Shen, Ashley</DisplayName>
        <AccountId>374</AccountId>
        <AccountType/>
      </UserInfo>
      <UserInfo>
        <DisplayName>Liu, Shawn</DisplayName>
        <AccountId>4567</AccountId>
        <AccountType/>
      </UserInfo>
      <UserInfo>
        <DisplayName>Li, Burnett</DisplayName>
        <AccountId>120</AccountId>
        <AccountType/>
      </UserInfo>
      <UserInfo>
        <DisplayName>Lin, Julian</DisplayName>
        <AccountId>2273</AccountId>
        <AccountType/>
      </UserInfo>
      <UserInfo>
        <DisplayName>Gurden, Clark</DisplayName>
        <AccountId>112</AccountId>
        <AccountType/>
      </UserInfo>
      <UserInfo>
        <DisplayName>GS, Shashank</DisplayName>
        <AccountId>246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EFDE86AE-1953-4AD4-968A-9D39A34B0D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484533F-8D8E-4C38-A467-8B5C62A3A7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e091b6-384d-46a0-ae78-d4bace000235"/>
    <ds:schemaRef ds:uri="7e2ede79-5c6f-4105-b132-a8685467d1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B05D82-C02E-4E26-8386-EC09EA73E03A}">
  <ds:schemaRefs>
    <ds:schemaRef ds:uri="http://schemas.microsoft.com/office/2006/metadata/properties"/>
    <ds:schemaRef ds:uri="73e091b6-384d-46a0-ae78-d4bace000235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www.w3.org/XML/1998/namespace"/>
    <ds:schemaRef ds:uri="http://purl.org/dc/terms/"/>
    <ds:schemaRef ds:uri="http://schemas.microsoft.com/office/infopath/2007/PartnerControls"/>
    <ds:schemaRef ds:uri="7e2ede79-5c6f-4105-b132-a8685467d1af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7bf95229-8871-4865-86fe-21d4a426da58}" enabled="1" method="Privileged" siteId="{305675df-dc39-4b66-8034-b8e7a8cb798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2026 Project</vt:lpstr>
      <vt:lpstr>HANDHELD 2024</vt:lpstr>
      <vt:lpstr>LAPTOP 2026</vt:lpstr>
      <vt:lpstr>DEKSTOP 2026</vt:lpstr>
      <vt:lpstr>HANDHELD 2026</vt:lpstr>
      <vt:lpstr>LAPTOP 2025</vt:lpstr>
      <vt:lpstr>DEKSTOP 2025</vt:lpstr>
      <vt:lpstr>2025 Project</vt:lpstr>
      <vt:lpstr>LAPTOP 2024</vt:lpstr>
      <vt:lpstr>NETWORKING 2024</vt:lpstr>
      <vt:lpstr>DEKSTOP 2024</vt:lpstr>
      <vt:lpstr>'HANDHELD 2024'!Print_Area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Li, Burnett</dc:creator>
  <cp:keywords/>
  <dc:description/>
  <cp:lastModifiedBy>Gurden, Clark</cp:lastModifiedBy>
  <cp:revision/>
  <dcterms:created xsi:type="dcterms:W3CDTF">2023-12-29T08:14:14Z</dcterms:created>
  <dcterms:modified xsi:type="dcterms:W3CDTF">2026-03-25T01:34:51Z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0x01010097867CC7AD04CB439534FD55899B3A70</vt:lpwstr>
  </property>
  <property fmtid="{D5CDD505-2E9C-101B-9397-08002B2CF9AE}" pid="3" name="MediaServiceImageTags">
    <vt:lpwstr/>
  </property>
</Properties>
</file>