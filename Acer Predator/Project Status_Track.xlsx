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604092\Desktop\uploadtoaem\"/>
    </mc:Choice>
  </mc:AlternateContent>
  <xr:revisionPtr revIDLastSave="0" documentId="8_{D092DEB3-3254-4DE7-8A36-4CA277B40CB6}" xr6:coauthVersionLast="47" xr6:coauthVersionMax="47" xr10:uidLastSave="{00000000-0000-0000-0000-000000000000}"/>
  <bookViews>
    <workbookView xWindow="1170" yWindow="1420" windowWidth="34670" windowHeight="16710" xr2:uid="{00000000-000D-0000-FFFF-FFFF00000000}"/>
  </bookViews>
  <sheets>
    <sheet name="NB" sheetId="10" r:id="rId1"/>
    <sheet name="DT" sheetId="11" r:id="rId2"/>
  </sheets>
  <definedNames>
    <definedName name="_xlnm._FilterDatabase" localSheetId="1" hidden="1">DT!$A$1:$N$18</definedName>
    <definedName name="_xlnm._FilterDatabase" localSheetId="0" hidden="1">NB!$A$2:$L$60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1" l="1"/>
  <c r="I19" i="11"/>
  <c r="G20" i="11"/>
  <c r="I20" i="11"/>
  <c r="G21" i="11"/>
  <c r="I21" i="11"/>
  <c r="G22" i="11"/>
  <c r="I22" i="11"/>
  <c r="G23" i="11"/>
  <c r="I23" i="11"/>
  <c r="G24" i="11"/>
  <c r="I24" i="11"/>
  <c r="G25" i="11"/>
  <c r="I25" i="11"/>
  <c r="G13" i="11"/>
  <c r="I13" i="11"/>
  <c r="G14" i="11"/>
  <c r="I14" i="11"/>
  <c r="I11" i="10"/>
  <c r="G11" i="10"/>
  <c r="G10" i="10"/>
  <c r="I10" i="10"/>
  <c r="G6" i="10"/>
  <c r="G7" i="10"/>
  <c r="G8" i="10"/>
  <c r="G9" i="10"/>
  <c r="G16" i="10"/>
  <c r="I16" i="10"/>
  <c r="G17" i="10"/>
  <c r="I17" i="10"/>
  <c r="G23" i="10"/>
  <c r="I23" i="10"/>
  <c r="G24" i="10"/>
  <c r="I24" i="10"/>
  <c r="I6" i="11"/>
  <c r="I7" i="11"/>
  <c r="G7" i="11"/>
  <c r="G6" i="11"/>
  <c r="I5" i="11"/>
  <c r="G5" i="11"/>
  <c r="I4" i="11"/>
  <c r="G4" i="11"/>
  <c r="I3" i="11"/>
  <c r="G3" i="11"/>
  <c r="I2" i="11"/>
  <c r="G2" i="11"/>
  <c r="I13" i="10"/>
  <c r="G13" i="10"/>
  <c r="I12" i="10"/>
  <c r="G12" i="10"/>
  <c r="G54" i="10"/>
  <c r="G10" i="11"/>
  <c r="G9" i="11"/>
  <c r="I18" i="11"/>
  <c r="I17" i="11"/>
  <c r="I16" i="11"/>
  <c r="I15" i="11"/>
  <c r="I10" i="11"/>
  <c r="I9" i="11"/>
  <c r="I8" i="11"/>
  <c r="I12" i="11"/>
  <c r="I11" i="11"/>
  <c r="G18" i="11"/>
  <c r="G17" i="11"/>
  <c r="G16" i="11"/>
  <c r="G15" i="11"/>
  <c r="G8" i="11"/>
  <c r="G12" i="11"/>
  <c r="G11" i="11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1" i="10"/>
  <c r="I22" i="10"/>
  <c r="I19" i="10"/>
  <c r="I18" i="10"/>
  <c r="I20" i="10"/>
  <c r="I15" i="10"/>
  <c r="I9" i="10"/>
  <c r="I8" i="10"/>
  <c r="I7" i="10"/>
  <c r="I6" i="10"/>
  <c r="I14" i="10"/>
  <c r="I5" i="10"/>
  <c r="I4" i="10"/>
  <c r="I3" i="10"/>
  <c r="G60" i="10"/>
  <c r="G59" i="10"/>
  <c r="G58" i="10"/>
  <c r="G57" i="10"/>
  <c r="G56" i="10"/>
  <c r="G55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1" i="10"/>
  <c r="G22" i="10"/>
  <c r="G19" i="10"/>
  <c r="G18" i="10"/>
  <c r="G20" i="10"/>
  <c r="G15" i="10"/>
  <c r="G14" i="10"/>
  <c r="G5" i="10"/>
  <c r="G4" i="10"/>
  <c r="G3" i="10"/>
</calcChain>
</file>

<file path=xl/sharedStrings.xml><?xml version="1.0" encoding="utf-8"?>
<sst xmlns="http://schemas.openxmlformats.org/spreadsheetml/2006/main" count="643" uniqueCount="308">
  <si>
    <t>Product line</t>
  </si>
  <si>
    <t>Project Name</t>
  </si>
  <si>
    <t>Marketing Name</t>
    <phoneticPr fontId="5" type="noConversion"/>
  </si>
  <si>
    <t>Model Name</t>
  </si>
  <si>
    <t>FCS</t>
  </si>
  <si>
    <t>PM</t>
  </si>
  <si>
    <t>PS Target Date</t>
  </si>
  <si>
    <t>PS Actual Date</t>
  </si>
  <si>
    <t>UM Target Date</t>
    <phoneticPr fontId="5" type="noConversion"/>
  </si>
  <si>
    <t>UM Actual Date</t>
    <phoneticPr fontId="5" type="noConversion"/>
  </si>
  <si>
    <t>PS Owner</t>
  </si>
  <si>
    <t>UM owner</t>
  </si>
  <si>
    <t xml:space="preserve">Remark </t>
  </si>
  <si>
    <t>Chromebook</t>
  </si>
  <si>
    <t>Moonstone_PTZ</t>
  </si>
  <si>
    <t>Acer Chromebook Plus Spin 714 (TBC)</t>
  </si>
  <si>
    <t>CP714-2HN</t>
  </si>
  <si>
    <t>Maceo Yang</t>
  </si>
  <si>
    <t>GS, Shashank</t>
  </si>
  <si>
    <t>Janet.Ang</t>
  </si>
  <si>
    <t>Grogu_89</t>
  </si>
  <si>
    <t xml:space="preserve">Acer Chromebook 314 </t>
  </si>
  <si>
    <t>(Consumer) CBOA314-2H,CBOA314-2HT
(Edu) C925/C925T</t>
  </si>
  <si>
    <t>William Tseng</t>
  </si>
  <si>
    <t>Starros_89</t>
  </si>
  <si>
    <t xml:space="preserve">Acer Chromebook 311 </t>
  </si>
  <si>
    <t>(Consumer) CBOA311-2H,CBOA311-2HT</t>
  </si>
  <si>
    <t>TravelMate</t>
  </si>
  <si>
    <t>Mandola_PTB</t>
  </si>
  <si>
    <t>Acer TravelMate P4 Spin 14 AI</t>
  </si>
  <si>
    <t>TMP414RN-56,TMP414RN-56-TCO,
TMP414RN-76,TMP414RN-76-TCO</t>
  </si>
  <si>
    <t>Eugene Shih</t>
  </si>
  <si>
    <t>Gurden, Clark</t>
  </si>
  <si>
    <t>Bell_PTB</t>
  </si>
  <si>
    <t>Acer TravelMate P4 14 AI</t>
  </si>
  <si>
    <t>TMP414-56,TMP414-56-TCO,TMP414-76,TMP414-76-TCO</t>
  </si>
  <si>
    <t>Steven Wang</t>
  </si>
  <si>
    <t>Bell_PTZ</t>
  </si>
  <si>
    <t>Acer TravelMate P2 14 AI</t>
  </si>
  <si>
    <r>
      <rPr>
        <sz val="11"/>
        <color rgb="FF000000"/>
        <rFont val="Calibri"/>
        <scheme val="minor"/>
      </rPr>
      <t>TMP214-57,TMP214-57-TCO,</t>
    </r>
    <r>
      <rPr>
        <sz val="11"/>
        <color rgb="FFFF0000"/>
        <rFont val="Calibri"/>
        <scheme val="minor"/>
      </rPr>
      <t>TMP214-77</t>
    </r>
    <r>
      <rPr>
        <sz val="11"/>
        <color rgb="FF000000"/>
        <rFont val="Calibri"/>
        <scheme val="minor"/>
      </rPr>
      <t>,TMP214-77-TCO</t>
    </r>
  </si>
  <si>
    <t>Bell_HKU</t>
  </si>
  <si>
    <t>Acer TravelMate P2 14</t>
  </si>
  <si>
    <t>(HawkPoint, TMP214-44, TMP214-44-TCO</t>
  </si>
  <si>
    <t>Ben Lee</t>
  </si>
  <si>
    <t>Dbass_PTZ</t>
  </si>
  <si>
    <t>Acer TravelMate P2 16 AI</t>
  </si>
  <si>
    <t>TMP216-52,TMP216-52-TCO, 
TMP216-72, TMP216-72-TCO</t>
  </si>
  <si>
    <t>Michelle Peng</t>
  </si>
  <si>
    <t>Dbass_HKU</t>
  </si>
  <si>
    <t>Acer TravelMate P2 16</t>
  </si>
  <si>
    <t xml:space="preserve">TMP216-42, TMP216-42-TCO </t>
  </si>
  <si>
    <t>KrakanPoint TMP214-44-G2, TMP214-44-G2-TCO</t>
  </si>
  <si>
    <t>(KrakanPoint, TMP216-42-G2, TMP216-42-G2-TCO</t>
  </si>
  <si>
    <t>Mandolin_PTW</t>
  </si>
  <si>
    <t>Acer TravelMate P6 14 AI</t>
  </si>
  <si>
    <t>TMP614-55,TMP614-55T,TMP614-74,TMP614-74T</t>
  </si>
  <si>
    <t>Sean Hsiao</t>
  </si>
  <si>
    <t>Mandocello_WK</t>
  </si>
  <si>
    <t>TravelMate P2 Spin 14</t>
  </si>
  <si>
    <t>TBC</t>
  </si>
  <si>
    <t>Ganza14_WK</t>
  </si>
  <si>
    <t>TravelMate X2 14</t>
  </si>
  <si>
    <t>Allen CL Sun</t>
  </si>
  <si>
    <t>Ganza15_WK</t>
  </si>
  <si>
    <t>TravelMate X2 15</t>
  </si>
  <si>
    <t>Iconia</t>
  </si>
  <si>
    <t>D12M1 (V12TM2)</t>
  </si>
  <si>
    <r>
      <rPr>
        <sz val="12"/>
        <color rgb="FFFF0000"/>
        <rFont val="Acer Foco"/>
      </rPr>
      <t>Iconia Duo D12</t>
    </r>
    <r>
      <rPr>
        <strike/>
        <sz val="12"/>
        <color rgb="FFFF0000"/>
        <rFont val="Acer Foco"/>
      </rPr>
      <t xml:space="preserve"> (Iconia V12)</t>
    </r>
  </si>
  <si>
    <r>
      <rPr>
        <sz val="12"/>
        <color rgb="FFFF0000"/>
        <rFont val="Acer Foco"/>
      </rPr>
      <t xml:space="preserve">D12-11M </t>
    </r>
    <r>
      <rPr>
        <strike/>
        <sz val="12"/>
        <color rgb="FFFF0000"/>
        <rFont val="Acer Foco"/>
      </rPr>
      <t>(V12T-21M)</t>
    </r>
  </si>
  <si>
    <t>Johnny Wu</t>
  </si>
  <si>
    <t>UM draft 1/13, 2/2 hold mkt name to finalize?</t>
  </si>
  <si>
    <t>A10M3N</t>
  </si>
  <si>
    <t>Acer Iconia A10</t>
  </si>
  <si>
    <t>A10-41MN</t>
  </si>
  <si>
    <t>UM draft  1/13, 2/2 approved</t>
  </si>
  <si>
    <t>S14M1 (X14TM2N)</t>
  </si>
  <si>
    <t>Iconia  Duo S14 (Iconia X14)</t>
  </si>
  <si>
    <r>
      <rPr>
        <sz val="12"/>
        <color rgb="FFFF0000"/>
        <rFont val="Acer Foco"/>
      </rPr>
      <t>S14-11M</t>
    </r>
    <r>
      <rPr>
        <strike/>
        <sz val="12"/>
        <color rgb="FFFF0000"/>
        <rFont val="Acer Foco"/>
      </rPr>
      <t xml:space="preserve"> (X14T-21MN)</t>
    </r>
  </si>
  <si>
    <t>2/2 hold mkt name to finalize?</t>
  </si>
  <si>
    <t>B12M1 (A12TM2N)</t>
  </si>
  <si>
    <t>Iconia Duo B12 (Iconia A12)</t>
  </si>
  <si>
    <r>
      <rPr>
        <sz val="12"/>
        <color rgb="FFFF0000"/>
        <rFont val="Acer Foco"/>
      </rPr>
      <t>B12-11M</t>
    </r>
    <r>
      <rPr>
        <strike/>
        <sz val="12"/>
        <color rgb="FFFF0000"/>
        <rFont val="Acer Foco"/>
      </rPr>
      <t xml:space="preserve"> (A12T-21MN)</t>
    </r>
  </si>
  <si>
    <t>S12M1 (X12TM3N)</t>
  </si>
  <si>
    <t>Iconia Duo S12 (Iconia X12)</t>
  </si>
  <si>
    <r>
      <rPr>
        <sz val="12"/>
        <color rgb="FFFF0000"/>
        <rFont val="Acer Foco"/>
      </rPr>
      <t xml:space="preserve">S12-11M </t>
    </r>
    <r>
      <rPr>
        <strike/>
        <sz val="12"/>
        <color rgb="FFFF0000"/>
        <rFont val="Acer Foco"/>
      </rPr>
      <t>(X12T-31MN)</t>
    </r>
  </si>
  <si>
    <t>Eason Yang</t>
  </si>
  <si>
    <t>A11M3N cancelled</t>
  </si>
  <si>
    <t>Acer Iconia A11</t>
  </si>
  <si>
    <t>A11-31MN</t>
  </si>
  <si>
    <t>B11M1 (A11TM3N)</t>
  </si>
  <si>
    <t>Iconia Duo B11 (Iconia A11)</t>
  </si>
  <si>
    <r>
      <rPr>
        <sz val="12"/>
        <color rgb="FFFF0000"/>
        <rFont val="Acer Foco"/>
      </rPr>
      <t xml:space="preserve">B11-1M </t>
    </r>
    <r>
      <rPr>
        <strike/>
        <sz val="12"/>
        <color rgb="FFFF0000"/>
        <rFont val="Acer Foco"/>
      </rPr>
      <t>(A11T-31MN)</t>
    </r>
  </si>
  <si>
    <t xml:space="preserve">Aspire </t>
    <phoneticPr fontId="5" type="noConversion"/>
  </si>
  <si>
    <t>Urus_PTW</t>
    <phoneticPr fontId="5" type="noConversion"/>
  </si>
  <si>
    <t>Aspire X 16 AI</t>
    <phoneticPr fontId="5" type="noConversion"/>
  </si>
  <si>
    <t>AX16-I71M</t>
    <phoneticPr fontId="5" type="noConversion"/>
  </si>
  <si>
    <t>Julia Huang</t>
    <phoneticPr fontId="5" type="noConversion"/>
  </si>
  <si>
    <t>Wennie.Chu</t>
  </si>
  <si>
    <t>Aspire</t>
  </si>
  <si>
    <t>Souffle_PTZ</t>
    <phoneticPr fontId="5" type="noConversion"/>
  </si>
  <si>
    <t>Aspire 14 AI</t>
    <phoneticPr fontId="5" type="noConversion"/>
  </si>
  <si>
    <t>A14-I71M-A14-I71MT</t>
    <phoneticPr fontId="5" type="noConversion"/>
  </si>
  <si>
    <t>Terry Chien</t>
    <phoneticPr fontId="5" type="noConversion"/>
  </si>
  <si>
    <t>2025/12/25 by mail</t>
  </si>
  <si>
    <t>Brownie_PTZ</t>
    <phoneticPr fontId="5" type="noConversion"/>
  </si>
  <si>
    <t>Aspire 16 AI</t>
    <phoneticPr fontId="5" type="noConversion"/>
  </si>
  <si>
    <t>A16-I71M-A16-I71MT</t>
    <phoneticPr fontId="5" type="noConversion"/>
  </si>
  <si>
    <t>Justin Lin</t>
    <phoneticPr fontId="5" type="noConversion"/>
  </si>
  <si>
    <t>BubbleTea14_WK</t>
    <phoneticPr fontId="5" type="noConversion"/>
  </si>
  <si>
    <t>Aspire 14</t>
    <phoneticPr fontId="5" type="noConversion"/>
  </si>
  <si>
    <t>A14-I51M</t>
    <phoneticPr fontId="5" type="noConversion"/>
  </si>
  <si>
    <t>Richard Chao</t>
    <phoneticPr fontId="5" type="noConversion"/>
  </si>
  <si>
    <t>Lavacake_PTZ</t>
    <phoneticPr fontId="5" type="noConversion"/>
  </si>
  <si>
    <t>Aspire 18 AI</t>
    <phoneticPr fontId="5" type="noConversion"/>
  </si>
  <si>
    <t>A18-I71M</t>
    <phoneticPr fontId="5" type="noConversion"/>
  </si>
  <si>
    <t>Brenda Tasi</t>
    <phoneticPr fontId="5" type="noConversion"/>
  </si>
  <si>
    <t>Swift</t>
    <phoneticPr fontId="5" type="noConversion"/>
  </si>
  <si>
    <t>Walrus_PTW</t>
  </si>
  <si>
    <t>Swift Go 14 AI</t>
    <phoneticPr fontId="5" type="noConversion"/>
  </si>
  <si>
    <t>SFG14-I71_SFG14-I71T</t>
    <phoneticPr fontId="5" type="noConversion"/>
  </si>
  <si>
    <t>Claudie Ho</t>
    <phoneticPr fontId="5" type="noConversion"/>
  </si>
  <si>
    <t>Grouper_PTZ</t>
  </si>
  <si>
    <t>Swift Edge 16 AI</t>
    <phoneticPr fontId="5" type="noConversion"/>
  </si>
  <si>
    <t>SFE16-I51_SFE16-I51</t>
    <phoneticPr fontId="5" type="noConversion"/>
  </si>
  <si>
    <t>Fangyi Kuo</t>
    <phoneticPr fontId="5" type="noConversion"/>
  </si>
  <si>
    <t>Stingray_PTZ</t>
  </si>
  <si>
    <t>Swift Edge 14 AI</t>
    <phoneticPr fontId="5" type="noConversion"/>
  </si>
  <si>
    <r>
      <rPr>
        <sz val="12"/>
        <color rgb="FF000000"/>
        <rFont val="Acer Foco"/>
      </rPr>
      <t>SFE14-I51</t>
    </r>
    <r>
      <rPr>
        <strike/>
        <sz val="12"/>
        <color rgb="FF000000"/>
        <rFont val="Acer Foco"/>
      </rPr>
      <t>_SFE14-I51T</t>
    </r>
  </si>
  <si>
    <t>Predator</t>
    <phoneticPr fontId="5" type="noConversion"/>
  </si>
  <si>
    <t>MacanS_RTX</t>
    <phoneticPr fontId="5" type="noConversion"/>
  </si>
  <si>
    <t>Predator Helios Neo 16</t>
    <phoneticPr fontId="5" type="noConversion"/>
  </si>
  <si>
    <t>PHN16-I31</t>
    <phoneticPr fontId="5" type="noConversion"/>
  </si>
  <si>
    <t>Scott Hsu</t>
    <phoneticPr fontId="5" type="noConversion"/>
  </si>
  <si>
    <t>Fpace_PTB</t>
  </si>
  <si>
    <t>Predator Helios Neo 16S AI</t>
    <phoneticPr fontId="5" type="noConversion"/>
  </si>
  <si>
    <t>PHN16S-I51</t>
    <phoneticPr fontId="5" type="noConversion"/>
  </si>
  <si>
    <t>Fpace_ARX</t>
  </si>
  <si>
    <t>PHN16S-I71</t>
    <phoneticPr fontId="5" type="noConversion"/>
  </si>
  <si>
    <t>Jessie Wang</t>
    <phoneticPr fontId="5" type="noConversion"/>
  </si>
  <si>
    <t>Valour_ARX</t>
  </si>
  <si>
    <t>Predator Helios 18 AI</t>
    <phoneticPr fontId="5" type="noConversion"/>
  </si>
  <si>
    <t>PH18-I71</t>
    <phoneticPr fontId="5" type="noConversion"/>
  </si>
  <si>
    <t>Albert Pan</t>
    <phoneticPr fontId="5" type="noConversion"/>
  </si>
  <si>
    <t>MacanS_ARX</t>
  </si>
  <si>
    <t xml:space="preserve">Predator Helios Neo 16 AI </t>
    <phoneticPr fontId="5" type="noConversion"/>
  </si>
  <si>
    <t>PHN16-I71</t>
    <phoneticPr fontId="5" type="noConversion"/>
  </si>
  <si>
    <t>Ken Li</t>
    <phoneticPr fontId="5" type="noConversion"/>
  </si>
  <si>
    <t>iX2_ARX</t>
    <phoneticPr fontId="5" type="noConversion"/>
  </si>
  <si>
    <t>Predator Helios Neo 18 AI</t>
    <phoneticPr fontId="5" type="noConversion"/>
  </si>
  <si>
    <t>PHN18-I71</t>
    <phoneticPr fontId="5" type="noConversion"/>
  </si>
  <si>
    <t>Shao Yu Wu</t>
    <phoneticPr fontId="5" type="noConversion"/>
  </si>
  <si>
    <t>Nitro</t>
    <phoneticPr fontId="5" type="noConversion"/>
  </si>
  <si>
    <t>Picanto_PTZ</t>
  </si>
  <si>
    <t>Nitro V 16 AI</t>
    <phoneticPr fontId="5" type="noConversion"/>
  </si>
  <si>
    <t>ANV16-I51</t>
    <phoneticPr fontId="5" type="noConversion"/>
  </si>
  <si>
    <t>Sorento_PTZ</t>
  </si>
  <si>
    <t xml:space="preserve">Nitro V 16S AI </t>
    <phoneticPr fontId="5" type="noConversion"/>
  </si>
  <si>
    <t>ANV16S-I5</t>
    <phoneticPr fontId="5" type="noConversion"/>
  </si>
  <si>
    <t>Sportswag_RTH</t>
  </si>
  <si>
    <t>Nitro V 17</t>
    <phoneticPr fontId="5" type="noConversion"/>
  </si>
  <si>
    <t>ANV17-I31</t>
    <phoneticPr fontId="5" type="noConversion"/>
  </si>
  <si>
    <t>Picanto_GG</t>
    <phoneticPr fontId="5" type="noConversion"/>
  </si>
  <si>
    <t>ANV16-A71</t>
    <phoneticPr fontId="5" type="noConversion"/>
  </si>
  <si>
    <t>Wade Liu</t>
    <phoneticPr fontId="5" type="noConversion"/>
  </si>
  <si>
    <t>Picanto_RTH</t>
    <phoneticPr fontId="5" type="noConversion"/>
  </si>
  <si>
    <t>Nitro V 16</t>
    <phoneticPr fontId="5" type="noConversion"/>
  </si>
  <si>
    <t>ANV16-I31</t>
    <phoneticPr fontId="5" type="noConversion"/>
  </si>
  <si>
    <t>Phoebe Chiu</t>
    <phoneticPr fontId="5" type="noConversion"/>
  </si>
  <si>
    <t>Mufasa_FRX</t>
    <phoneticPr fontId="5" type="noConversion"/>
  </si>
  <si>
    <t>Nitro16</t>
    <phoneticPr fontId="5" type="noConversion"/>
  </si>
  <si>
    <t>AN16-A91</t>
    <phoneticPr fontId="5" type="noConversion"/>
  </si>
  <si>
    <t>Jessica Wang</t>
    <phoneticPr fontId="5" type="noConversion"/>
  </si>
  <si>
    <t>Aspire Lite</t>
  </si>
  <si>
    <t>CTE_NB_AL160P1_ARU</t>
  </si>
  <si>
    <t>Aspire Lite 16</t>
    <phoneticPr fontId="5" type="noConversion"/>
  </si>
  <si>
    <t>AL16-56P</t>
  </si>
  <si>
    <t>Jerry Lan</t>
  </si>
  <si>
    <t>2025/12/22 by mail</t>
  </si>
  <si>
    <t>CTE_NB_AL140P1_ARU</t>
  </si>
  <si>
    <t>Aspire Lite 14</t>
    <phoneticPr fontId="5" type="noConversion"/>
  </si>
  <si>
    <t>AL14-55P</t>
  </si>
  <si>
    <t>Yumim Chang</t>
  </si>
  <si>
    <t>CTE_NB_AL140P1_KAF</t>
  </si>
  <si>
    <t>AL14-61P</t>
  </si>
  <si>
    <t>Richard Chang</t>
  </si>
  <si>
    <t>CTE_NB_AL140P1_ARH</t>
  </si>
  <si>
    <t>AL14-75P</t>
  </si>
  <si>
    <t>Aspire Gaming</t>
  </si>
  <si>
    <t>CTE_NB_AGM140P1_ARH</t>
  </si>
  <si>
    <t>Aspire Gaming 14</t>
    <phoneticPr fontId="5" type="noConversion"/>
  </si>
  <si>
    <t>AGM14-71P</t>
  </si>
  <si>
    <t>CTE_NB_AL140P1_MTH</t>
  </si>
  <si>
    <t>AL14-74P</t>
  </si>
  <si>
    <t>Swift Lite</t>
  </si>
  <si>
    <t>CTE_NB_SFL140P1_MTH</t>
  </si>
  <si>
    <t>Swift Lite 14</t>
    <phoneticPr fontId="5" type="noConversion"/>
  </si>
  <si>
    <t>SFL14-71P</t>
  </si>
  <si>
    <t>CTE_NB_AL140P1_JL</t>
  </si>
  <si>
    <t>AL14-35P</t>
  </si>
  <si>
    <t>Swift Air AI</t>
  </si>
  <si>
    <t>CTE_NB_SA140Mg1_PTW</t>
  </si>
  <si>
    <t>Swift Air AI 14</t>
    <phoneticPr fontId="5" type="noConversion"/>
  </si>
  <si>
    <t>SFA14-72M</t>
  </si>
  <si>
    <t>Wayne Wang</t>
  </si>
  <si>
    <t>CTE_NB_AL140P1_LNV</t>
  </si>
  <si>
    <t>AL14-56P</t>
  </si>
  <si>
    <t>Aspire Pro</t>
  </si>
  <si>
    <t>CTE_NB_AP140P1_MTH</t>
  </si>
  <si>
    <t>Aspire Pro 14</t>
    <phoneticPr fontId="5" type="noConversion"/>
  </si>
  <si>
    <t>APRO14-71P</t>
  </si>
  <si>
    <t>Rock Kuan</t>
  </si>
  <si>
    <t>CTE_NB_AL156P1_MTH</t>
  </si>
  <si>
    <t>Aspire Lite 15</t>
    <phoneticPr fontId="5" type="noConversion"/>
  </si>
  <si>
    <t>AL15-76P</t>
  </si>
  <si>
    <t>TBC</t>
    <phoneticPr fontId="5" type="noConversion"/>
  </si>
  <si>
    <t>Aspire Lite</t>
    <phoneticPr fontId="5" type="noConversion"/>
  </si>
  <si>
    <t>CTE_NB_AL156P1_LNV</t>
    <phoneticPr fontId="5" type="noConversion"/>
  </si>
  <si>
    <t>AL15-57P</t>
    <phoneticPr fontId="5" type="noConversion"/>
  </si>
  <si>
    <t xml:space="preserve">Swift Air </t>
    <phoneticPr fontId="5" type="noConversion"/>
  </si>
  <si>
    <t>CTE_NB_SA140M2_LNV</t>
  </si>
  <si>
    <t>Swift Air 14</t>
    <phoneticPr fontId="5" type="noConversion"/>
  </si>
  <si>
    <t>SFA14-53M</t>
  </si>
  <si>
    <t>CTE_NB_SA160Mg1_LNV</t>
  </si>
  <si>
    <t>Swift Air 16</t>
  </si>
  <si>
    <t>SFA16-51M</t>
  </si>
  <si>
    <t>CTE_NB_SFL140M1_LNV</t>
  </si>
  <si>
    <t>SFL14-56M</t>
  </si>
  <si>
    <t>Marketing Name</t>
  </si>
  <si>
    <t>PS Target Date</t>
    <phoneticPr fontId="5" type="noConversion"/>
  </si>
  <si>
    <t>PS Actual Date</t>
    <phoneticPr fontId="5" type="noConversion"/>
  </si>
  <si>
    <t>UM Owner</t>
  </si>
  <si>
    <t>Veriton</t>
  </si>
  <si>
    <t>vAerobot238</t>
  </si>
  <si>
    <t>Acer Veriton Vero 4000 All-in-One</t>
  </si>
  <si>
    <t xml:space="preserve">(VVZ4704G(T)) </t>
  </si>
  <si>
    <t>Shinni Liu</t>
  </si>
  <si>
    <t> </t>
  </si>
  <si>
    <t>generic</t>
  </si>
  <si>
    <t xml:space="preserve">Acer Veriton Vero 6000 All-in-One </t>
  </si>
  <si>
    <t>(VVZ6704(T))</t>
  </si>
  <si>
    <t>vAerobot27</t>
  </si>
  <si>
    <t>(VVZ4707G(T))</t>
  </si>
  <si>
    <t>Acer Veriton Vero 6000 All-in-One</t>
  </si>
  <si>
    <t>(VVZ6707G(T))</t>
  </si>
  <si>
    <t>vAipomE</t>
  </si>
  <si>
    <t>Acer Veriton Vero 4000 Mini (TBC)</t>
  </si>
  <si>
    <t xml:space="preserve">VVN4735G(T) </t>
  </si>
  <si>
    <t>Fanky Lin</t>
  </si>
  <si>
    <r>
      <t xml:space="preserve">Acer Veriton Vero 6000 Mini </t>
    </r>
    <r>
      <rPr>
        <sz val="11"/>
        <color theme="1"/>
        <rFont val="Calibri"/>
        <family val="2"/>
      </rPr>
      <t>(TBC)</t>
    </r>
  </si>
  <si>
    <t xml:space="preserve">VVN6735G(T) </t>
  </si>
  <si>
    <t>vAquaman</t>
  </si>
  <si>
    <t xml:space="preserve">Acer Veriton 8000 Large Tower Workstation(TBC) </t>
  </si>
  <si>
    <t>VK8735G</t>
  </si>
  <si>
    <t>Elina Yang</t>
  </si>
  <si>
    <t>vAerobot27_ARL</t>
  </si>
  <si>
    <t>Acer Veriton 4000 All-in-One (TBC)</t>
  </si>
  <si>
    <t>VVZ4737G(T)</t>
  </si>
  <si>
    <t>Acer Veriton 6000 All-in-One (TBC)</t>
  </si>
  <si>
    <t>VVZ6737G(T)</t>
  </si>
  <si>
    <t>vAbraRE</t>
  </si>
  <si>
    <t>Acer 4000 Mini (VVN4725G(T))</t>
  </si>
  <si>
    <t>(VVN4725G(T))</t>
  </si>
  <si>
    <t>Christine Chi</t>
  </si>
  <si>
    <t>Acer 6000 Mini (VVN6725G(T))</t>
  </si>
  <si>
    <t>(VVN6725G(T))</t>
  </si>
  <si>
    <t>vAnconaHX-(X1720G)</t>
  </si>
  <si>
    <t>Acer Veriton 1000 Compact Tower</t>
  </si>
  <si>
    <t>VX1720G</t>
  </si>
  <si>
    <t>Chen, Hank Ph</t>
  </si>
  <si>
    <t>vAnzioHX-(X1730G)</t>
  </si>
  <si>
    <t>VX1730G</t>
  </si>
  <si>
    <t>Predator DT</t>
  </si>
  <si>
    <t>PO3_665</t>
  </si>
  <si>
    <t>Predator Orion 3000 (PO3-667)</t>
  </si>
  <si>
    <t>PO3-667</t>
  </si>
  <si>
    <t>James L</t>
  </si>
  <si>
    <t>Nitro DT</t>
  </si>
  <si>
    <t>PO3-665</t>
  </si>
  <si>
    <t>Acer Nitro 30 (N30-101)</t>
  </si>
  <si>
    <t>N30-101</t>
  </si>
  <si>
    <t>TC102_(MTL)</t>
  </si>
  <si>
    <t>Acer Nitro 20 (N20-101)</t>
  </si>
  <si>
    <t>N20-101</t>
  </si>
  <si>
    <t>Hour Tsai</t>
  </si>
  <si>
    <t>XC102_(MTL)</t>
  </si>
  <si>
    <t>Acer Nitro 10 (N10-101)</t>
  </si>
  <si>
    <t>N10-101</t>
  </si>
  <si>
    <t>vAnconaHX-(N20-110)</t>
  </si>
  <si>
    <t>Acer Nitro 20 (N20-110)</t>
  </si>
  <si>
    <t>N20-110_RPLHX</t>
  </si>
  <si>
    <t>vAnconaHX-(N10-110)</t>
  </si>
  <si>
    <t>Acer Nitro 10 (N10-110)</t>
  </si>
  <si>
    <t>N10-110_RPLHX</t>
  </si>
  <si>
    <t>vAnzioHX-(N20-110)</t>
  </si>
  <si>
    <t>N20-110_ARLHX</t>
  </si>
  <si>
    <t>vAnzioHX-(N10-110)</t>
  </si>
  <si>
    <t>N10-110_ARLHX</t>
  </si>
  <si>
    <t>Aspire DT</t>
  </si>
  <si>
    <t>C27_L (Intel / AMD)</t>
  </si>
  <si>
    <t>Acer Aspire C 27 AI</t>
  </si>
  <si>
    <t>C27D_MTLLP(Intel)/C27D-P1GGP (AMD)</t>
  </si>
  <si>
    <t xml:space="preserve">Huang, Abby Yf </t>
  </si>
  <si>
    <t>C24_L (Intel / AMD)</t>
  </si>
  <si>
    <t>Acer Aspire C 24 AI</t>
  </si>
  <si>
    <t>C24D-MTLLP (Intel) / C24D-P1GGP(AMD)</t>
  </si>
  <si>
    <t>RB110_W</t>
  </si>
  <si>
    <t>Acer Revo Box</t>
  </si>
  <si>
    <t>RB110-ARLHX, RB110-RPLHX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</si>
</sst>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35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2"/>
      <color rgb="FF9C570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000000"/>
      <name val="Acer Foco"/>
      <family val="2"/>
    </font>
    <font>
      <sz val="12"/>
      <color theme="1"/>
      <name val="Acer Foco"/>
      <family val="2"/>
    </font>
    <font>
      <sz val="12"/>
      <name val="Acer Foco"/>
      <family val="2"/>
    </font>
    <font>
      <sz val="12"/>
      <color rgb="FFFF0000"/>
      <name val="Acer Foco"/>
      <family val="2"/>
    </font>
    <font>
      <b/>
      <sz val="12"/>
      <color rgb="FF242424"/>
      <name val="Acer Foco"/>
      <family val="2"/>
    </font>
    <font>
      <sz val="12"/>
      <color rgb="FF242424"/>
      <name val="Acer Foco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cer Foco"/>
    </font>
    <font>
      <sz val="12"/>
      <color rgb="FFFF0000"/>
      <name val="Acer Foco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Trebuchet MS"/>
    </font>
    <font>
      <sz val="11"/>
      <name val="Trebuchet MS"/>
      <family val="2"/>
    </font>
    <font>
      <strike/>
      <sz val="12"/>
      <color rgb="FF000000"/>
      <name val="Acer Foco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2"/>
      <color rgb="FF000000"/>
      <name val="Acer Foco"/>
      <family val="2"/>
      <charset val="1"/>
    </font>
    <font>
      <sz val="12"/>
      <color rgb="FF242424"/>
      <name val="Acer Foco"/>
      <family val="2"/>
      <charset val="1"/>
    </font>
    <font>
      <strike/>
      <sz val="12"/>
      <color rgb="FFFF0000"/>
      <name val="Acer Foco"/>
    </font>
    <font>
      <sz val="11"/>
      <color rgb="FFFF0000"/>
      <name val="Trebuchet MS"/>
    </font>
    <font>
      <sz val="11"/>
      <color theme="1"/>
      <name val="Calibri"/>
      <family val="2"/>
      <scheme val="minor"/>
    </font>
    <font>
      <strike/>
      <sz val="12"/>
      <color rgb="FF000000"/>
      <name val="Acer Foco"/>
      <family val="2"/>
    </font>
    <font>
      <strike/>
      <sz val="11"/>
      <name val="Trebuchet MS"/>
    </font>
    <font>
      <strike/>
      <sz val="12"/>
      <name val="Acer Foco"/>
      <family val="2"/>
    </font>
    <font>
      <strike/>
      <sz val="12"/>
      <color rgb="FF242424"/>
      <name val="Acer Foco"/>
      <family val="2"/>
    </font>
    <font>
      <sz val="11"/>
      <color rgb="FFFF0000"/>
      <name val="Calibri"/>
    </font>
    <font>
      <sz val="11"/>
      <name val="Calibri"/>
    </font>
    <font>
      <b/>
      <sz val="12"/>
      <color rgb="FF242424"/>
      <name val="Acer Foc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EB9C"/>
      </patternFill>
    </fill>
    <fill>
      <patternFill patternType="solid">
        <fgColor rgb="FFD0D0D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3" fillId="0" borderId="0"/>
    <xf numFmtId="0" fontId="1" fillId="0" borderId="0"/>
    <xf numFmtId="0" fontId="4" fillId="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7" fillId="0" borderId="0" xfId="3" applyFont="1"/>
    <xf numFmtId="0" fontId="8" fillId="0" borderId="1" xfId="3" applyFont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 wrapText="1" readingOrder="1"/>
    </xf>
    <xf numFmtId="0" fontId="6" fillId="0" borderId="0" xfId="3" applyFont="1" applyAlignment="1">
      <alignment horizontal="left"/>
    </xf>
    <xf numFmtId="0" fontId="6" fillId="3" borderId="1" xfId="3" applyFont="1" applyFill="1" applyBorder="1" applyAlignment="1">
      <alignment horizontal="left"/>
    </xf>
    <xf numFmtId="0" fontId="6" fillId="0" borderId="1" xfId="3" applyFont="1" applyBorder="1" applyAlignment="1">
      <alignment horizontal="left"/>
    </xf>
    <xf numFmtId="0" fontId="11" fillId="2" borderId="1" xfId="3" applyFont="1" applyFill="1" applyBorder="1" applyAlignment="1">
      <alignment horizontal="left" vertical="center"/>
    </xf>
    <xf numFmtId="0" fontId="7" fillId="0" borderId="1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12" fillId="0" borderId="1" xfId="0" applyFont="1" applyBorder="1">
      <alignment vertical="center"/>
    </xf>
    <xf numFmtId="0" fontId="13" fillId="0" borderId="1" xfId="4" applyFont="1" applyFill="1" applyBorder="1">
      <alignment vertical="center"/>
    </xf>
    <xf numFmtId="0" fontId="13" fillId="0" borderId="1" xfId="0" applyFont="1" applyBorder="1">
      <alignment vertical="center"/>
    </xf>
    <xf numFmtId="0" fontId="12" fillId="0" borderId="1" xfId="0" applyFont="1" applyBorder="1" applyAlignment="1">
      <alignment vertical="center" wrapText="1"/>
    </xf>
    <xf numFmtId="14" fontId="6" fillId="0" borderId="0" xfId="3" applyNumberFormat="1" applyFont="1" applyAlignment="1">
      <alignment horizontal="left"/>
    </xf>
    <xf numFmtId="14" fontId="6" fillId="3" borderId="1" xfId="3" applyNumberFormat="1" applyFont="1" applyFill="1" applyBorder="1" applyAlignment="1">
      <alignment horizontal="left"/>
    </xf>
    <xf numFmtId="14" fontId="7" fillId="0" borderId="0" xfId="3" applyNumberFormat="1" applyFont="1" applyAlignment="1">
      <alignment horizontal="left"/>
    </xf>
    <xf numFmtId="164" fontId="6" fillId="0" borderId="0" xfId="3" applyNumberFormat="1" applyFont="1" applyAlignment="1">
      <alignment horizontal="left"/>
    </xf>
    <xf numFmtId="164" fontId="6" fillId="3" borderId="1" xfId="3" applyNumberFormat="1" applyFont="1" applyFill="1" applyBorder="1" applyAlignment="1">
      <alignment horizontal="left"/>
    </xf>
    <xf numFmtId="164" fontId="6" fillId="0" borderId="1" xfId="3" applyNumberFormat="1" applyFont="1" applyBorder="1" applyAlignment="1">
      <alignment horizontal="left"/>
    </xf>
    <xf numFmtId="164" fontId="7" fillId="0" borderId="1" xfId="3" applyNumberFormat="1" applyFont="1" applyBorder="1" applyAlignment="1">
      <alignment horizontal="left"/>
    </xf>
    <xf numFmtId="164" fontId="7" fillId="0" borderId="0" xfId="3" applyNumberFormat="1" applyFont="1" applyAlignment="1">
      <alignment horizontal="left"/>
    </xf>
    <xf numFmtId="164" fontId="8" fillId="0" borderId="1" xfId="3" applyNumberFormat="1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left" vertical="center"/>
    </xf>
    <xf numFmtId="0" fontId="6" fillId="3" borderId="3" xfId="3" applyFont="1" applyFill="1" applyBorder="1" applyAlignment="1">
      <alignment horizontal="left"/>
    </xf>
    <xf numFmtId="164" fontId="6" fillId="3" borderId="3" xfId="3" applyNumberFormat="1" applyFont="1" applyFill="1" applyBorder="1" applyAlignment="1">
      <alignment horizontal="left"/>
    </xf>
    <xf numFmtId="0" fontId="10" fillId="0" borderId="1" xfId="3" applyFont="1" applyBorder="1" applyAlignment="1">
      <alignment horizontal="left" vertical="center"/>
    </xf>
    <xf numFmtId="164" fontId="8" fillId="0" borderId="2" xfId="3" applyNumberFormat="1" applyFont="1" applyBorder="1" applyAlignment="1">
      <alignment horizontal="left" vertical="center" wrapText="1"/>
    </xf>
    <xf numFmtId="164" fontId="6" fillId="0" borderId="7" xfId="0" applyNumberFormat="1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left" vertical="center"/>
    </xf>
    <xf numFmtId="164" fontId="6" fillId="0" borderId="3" xfId="3" applyNumberFormat="1" applyFont="1" applyBorder="1" applyAlignment="1">
      <alignment horizontal="left"/>
    </xf>
    <xf numFmtId="0" fontId="16" fillId="0" borderId="1" xfId="0" applyFont="1" applyBorder="1" applyAlignment="1">
      <alignment wrapText="1"/>
    </xf>
    <xf numFmtId="0" fontId="18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7" fillId="0" borderId="9" xfId="3" applyFont="1" applyBorder="1"/>
    <xf numFmtId="14" fontId="7" fillId="0" borderId="9" xfId="3" applyNumberFormat="1" applyFont="1" applyBorder="1"/>
    <xf numFmtId="0" fontId="6" fillId="3" borderId="2" xfId="3" applyFont="1" applyFill="1" applyBorder="1" applyAlignment="1">
      <alignment horizontal="left"/>
    </xf>
    <xf numFmtId="0" fontId="6" fillId="0" borderId="2" xfId="3" applyFont="1" applyBorder="1" applyAlignment="1">
      <alignment horizontal="left"/>
    </xf>
    <xf numFmtId="0" fontId="7" fillId="0" borderId="2" xfId="3" applyFont="1" applyBorder="1" applyAlignment="1">
      <alignment horizontal="left"/>
    </xf>
    <xf numFmtId="14" fontId="6" fillId="0" borderId="1" xfId="3" applyNumberFormat="1" applyFont="1" applyBorder="1" applyAlignment="1">
      <alignment horizontal="left"/>
    </xf>
    <xf numFmtId="0" fontId="14" fillId="0" borderId="1" xfId="3" applyFont="1" applyBorder="1" applyAlignment="1">
      <alignment horizontal="left"/>
    </xf>
    <xf numFmtId="164" fontId="8" fillId="0" borderId="6" xfId="3" applyNumberFormat="1" applyFont="1" applyBorder="1" applyAlignment="1">
      <alignment horizontal="left" vertical="center" wrapText="1"/>
    </xf>
    <xf numFmtId="164" fontId="8" fillId="0" borderId="4" xfId="3" applyNumberFormat="1" applyFont="1" applyBorder="1" applyAlignment="1">
      <alignment horizontal="left" vertical="center" wrapText="1"/>
    </xf>
    <xf numFmtId="164" fontId="8" fillId="0" borderId="5" xfId="3" applyNumberFormat="1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9" fillId="0" borderId="1" xfId="3" applyFont="1" applyBorder="1" applyAlignment="1">
      <alignment horizontal="left" vertical="center" wrapText="1" readingOrder="1"/>
    </xf>
    <xf numFmtId="0" fontId="23" fillId="5" borderId="13" xfId="0" applyFont="1" applyFill="1" applyBorder="1">
      <alignment vertical="center"/>
    </xf>
    <xf numFmtId="0" fontId="23" fillId="5" borderId="14" xfId="0" applyFont="1" applyFill="1" applyBorder="1">
      <alignment vertical="center"/>
    </xf>
    <xf numFmtId="0" fontId="24" fillId="5" borderId="14" xfId="0" applyFont="1" applyFill="1" applyBorder="1">
      <alignment vertical="center"/>
    </xf>
    <xf numFmtId="0" fontId="23" fillId="5" borderId="14" xfId="0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left" vertical="center"/>
    </xf>
    <xf numFmtId="0" fontId="15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 vertical="center" wrapText="1"/>
    </xf>
    <xf numFmtId="0" fontId="15" fillId="0" borderId="1" xfId="3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27" fillId="0" borderId="1" xfId="0" applyFont="1" applyBorder="1" applyAlignment="1">
      <alignment wrapText="1"/>
    </xf>
    <xf numFmtId="0" fontId="28" fillId="0" borderId="1" xfId="3" applyFont="1" applyBorder="1" applyAlignment="1">
      <alignment horizontal="left"/>
    </xf>
    <xf numFmtId="0" fontId="29" fillId="0" borderId="9" xfId="0" applyFont="1" applyBorder="1" applyAlignment="1">
      <alignment horizontal="left" vertical="center" wrapText="1"/>
    </xf>
    <xf numFmtId="0" fontId="30" fillId="0" borderId="1" xfId="3" applyFont="1" applyBorder="1" applyAlignment="1">
      <alignment horizontal="left" vertical="center" wrapText="1"/>
    </xf>
    <xf numFmtId="164" fontId="30" fillId="0" borderId="1" xfId="3" applyNumberFormat="1" applyFont="1" applyBorder="1" applyAlignment="1">
      <alignment horizontal="left" vertical="center" wrapText="1"/>
    </xf>
    <xf numFmtId="0" fontId="31" fillId="2" borderId="1" xfId="3" applyFont="1" applyFill="1" applyBorder="1" applyAlignment="1">
      <alignment horizontal="left" vertical="center"/>
    </xf>
    <xf numFmtId="164" fontId="28" fillId="0" borderId="1" xfId="3" applyNumberFormat="1" applyFont="1" applyBorder="1" applyAlignment="1">
      <alignment horizontal="left"/>
    </xf>
    <xf numFmtId="14" fontId="33" fillId="0" borderId="15" xfId="0" applyNumberFormat="1" applyFont="1" applyBorder="1" applyAlignment="1">
      <alignment horizontal="left" vertical="center" wrapText="1"/>
    </xf>
    <xf numFmtId="0" fontId="34" fillId="0" borderId="3" xfId="3" applyFont="1" applyBorder="1" applyAlignment="1">
      <alignment horizontal="left" vertical="center"/>
    </xf>
    <xf numFmtId="0" fontId="34" fillId="0" borderId="9" xfId="3" applyFont="1" applyBorder="1" applyAlignment="1">
      <alignment horizontal="left" vertical="center"/>
    </xf>
    <xf numFmtId="164" fontId="7" fillId="0" borderId="9" xfId="3" applyNumberFormat="1" applyFont="1" applyBorder="1" applyAlignment="1">
      <alignment horizontal="left"/>
    </xf>
    <xf numFmtId="0" fontId="34" fillId="0" borderId="16" xfId="3" applyFont="1" applyBorder="1" applyAlignment="1">
      <alignment horizontal="left" vertical="center"/>
    </xf>
    <xf numFmtId="0" fontId="34" fillId="0" borderId="10" xfId="3" applyFont="1" applyBorder="1" applyAlignment="1">
      <alignment horizontal="left" vertical="center"/>
    </xf>
    <xf numFmtId="164" fontId="6" fillId="0" borderId="9" xfId="3" applyNumberFormat="1" applyFont="1" applyBorder="1" applyAlignment="1">
      <alignment horizontal="left"/>
    </xf>
    <xf numFmtId="0" fontId="10" fillId="0" borderId="2" xfId="3" applyFont="1" applyBorder="1" applyAlignment="1">
      <alignment horizontal="left" vertical="center"/>
    </xf>
    <xf numFmtId="14" fontId="32" fillId="0" borderId="15" xfId="0" applyNumberFormat="1" applyFont="1" applyBorder="1" applyAlignment="1">
      <alignment horizontal="left" vertical="center" wrapText="1"/>
    </xf>
  </cellXfs>
  <cellStyles count="5">
    <cellStyle name="Neutral" xfId="4" builtinId="28"/>
    <cellStyle name="Normal" xfId="0" builtinId="0"/>
    <cellStyle name="Normal 2" xfId="1" xr:uid="{502D741B-818D-434F-B53B-7ABB146C3007}"/>
    <cellStyle name="Normal 3" xfId="2" xr:uid="{085EFA9A-856D-4C25-AEFC-D5E8DD610339}"/>
    <cellStyle name="Normal 4" xfId="3" xr:uid="{7E752529-8F12-46AF-A0C3-DBB58C5108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C82F-9449-4A0B-8E17-91B75BCEC515}">
  <dimension ref="A1:M60"/>
  <sheetViews>
    <sheetView tabSelected="1" zoomScaleNormal="100" workbookViewId="0">
      <selection activeCell="L25" sqref="L25"/>
    </sheetView>
  </sheetViews>
  <sheetFormatPr defaultColWidth="9.125" defaultRowHeight="15"/>
  <cols>
    <col min="1" max="1" width="16.125" style="9" customWidth="1"/>
    <col min="2" max="2" width="26.625" style="9" customWidth="1"/>
    <col min="3" max="3" width="27.125" style="9" customWidth="1"/>
    <col min="4" max="4" width="26.25" style="9" customWidth="1"/>
    <col min="5" max="5" width="13.875" style="21" customWidth="1"/>
    <col min="6" max="6" width="15.125" style="9" customWidth="1"/>
    <col min="7" max="7" width="15.5" style="16" customWidth="1"/>
    <col min="8" max="8" width="16.75" style="9" customWidth="1"/>
    <col min="9" max="9" width="15.625" style="21" customWidth="1"/>
    <col min="10" max="10" width="14.875" style="9" customWidth="1"/>
    <col min="11" max="11" width="13" style="1" customWidth="1"/>
    <col min="12" max="12" width="14.625" style="1" customWidth="1"/>
    <col min="13" max="13" width="12" style="1" bestFit="1" customWidth="1"/>
    <col min="14" max="16384" width="9.125" style="1"/>
  </cols>
  <sheetData>
    <row r="1" spans="1:13">
      <c r="A1" s="4"/>
      <c r="B1" s="4"/>
      <c r="C1" s="4"/>
      <c r="D1" s="4"/>
      <c r="E1" s="17"/>
      <c r="F1" s="4"/>
      <c r="G1" s="14"/>
      <c r="H1" s="4"/>
      <c r="I1" s="17"/>
      <c r="J1" s="4"/>
      <c r="K1" s="4"/>
      <c r="L1" s="4"/>
    </row>
    <row r="2" spans="1:13">
      <c r="A2" s="5" t="s">
        <v>0</v>
      </c>
      <c r="B2" s="5" t="s">
        <v>1</v>
      </c>
      <c r="C2" s="5" t="s">
        <v>2</v>
      </c>
      <c r="D2" s="5" t="s">
        <v>3</v>
      </c>
      <c r="E2" s="18" t="s">
        <v>4</v>
      </c>
      <c r="F2" s="5" t="s">
        <v>5</v>
      </c>
      <c r="G2" s="15" t="s">
        <v>6</v>
      </c>
      <c r="H2" s="5" t="s">
        <v>7</v>
      </c>
      <c r="I2" s="18" t="s">
        <v>8</v>
      </c>
      <c r="J2" s="5" t="s">
        <v>9</v>
      </c>
      <c r="K2" s="5" t="s">
        <v>10</v>
      </c>
      <c r="L2" s="37" t="s">
        <v>11</v>
      </c>
      <c r="M2" s="35" t="s">
        <v>12</v>
      </c>
    </row>
    <row r="3" spans="1:13" ht="30">
      <c r="A3" s="6" t="s">
        <v>13</v>
      </c>
      <c r="B3" s="3" t="s">
        <v>14</v>
      </c>
      <c r="C3" s="3" t="s">
        <v>15</v>
      </c>
      <c r="D3" s="3" t="s">
        <v>16</v>
      </c>
      <c r="E3" s="19">
        <v>46220</v>
      </c>
      <c r="F3" s="6" t="s">
        <v>17</v>
      </c>
      <c r="G3" s="19">
        <f>E3-28</f>
        <v>46192</v>
      </c>
      <c r="H3" s="19"/>
      <c r="I3" s="19">
        <f>E3-28</f>
        <v>46192</v>
      </c>
      <c r="J3" s="19"/>
      <c r="K3" s="6" t="s">
        <v>18</v>
      </c>
      <c r="L3" s="6" t="s">
        <v>19</v>
      </c>
    </row>
    <row r="4" spans="1:13" ht="45">
      <c r="A4" s="6" t="s">
        <v>13</v>
      </c>
      <c r="B4" s="3" t="s">
        <v>20</v>
      </c>
      <c r="C4" s="3" t="s">
        <v>21</v>
      </c>
      <c r="D4" s="3" t="s">
        <v>22</v>
      </c>
      <c r="E4" s="19">
        <v>46121</v>
      </c>
      <c r="F4" s="6" t="s">
        <v>23</v>
      </c>
      <c r="G4" s="19">
        <f t="shared" ref="G4:G60" si="0">E4-28</f>
        <v>46093</v>
      </c>
      <c r="H4" s="19"/>
      <c r="I4" s="19">
        <f t="shared" ref="I4:I60" si="1">E4-28</f>
        <v>46093</v>
      </c>
      <c r="J4" s="6"/>
      <c r="K4" s="6" t="s">
        <v>18</v>
      </c>
      <c r="L4" s="6" t="s">
        <v>19</v>
      </c>
    </row>
    <row r="5" spans="1:13" ht="30">
      <c r="A5" s="6" t="s">
        <v>13</v>
      </c>
      <c r="B5" s="3" t="s">
        <v>24</v>
      </c>
      <c r="C5" s="3" t="s">
        <v>25</v>
      </c>
      <c r="D5" s="3" t="s">
        <v>26</v>
      </c>
      <c r="E5" s="19">
        <v>46128</v>
      </c>
      <c r="F5" s="6" t="s">
        <v>23</v>
      </c>
      <c r="G5" s="19">
        <f t="shared" si="0"/>
        <v>46100</v>
      </c>
      <c r="H5" s="19"/>
      <c r="I5" s="19">
        <f t="shared" si="1"/>
        <v>46100</v>
      </c>
      <c r="J5" s="6"/>
      <c r="K5" s="6" t="s">
        <v>18</v>
      </c>
      <c r="L5" s="6" t="s">
        <v>19</v>
      </c>
    </row>
    <row r="6" spans="1:13" ht="60.75" customHeight="1">
      <c r="A6" s="6" t="s">
        <v>27</v>
      </c>
      <c r="B6" s="32" t="s">
        <v>28</v>
      </c>
      <c r="C6" s="45" t="s">
        <v>29</v>
      </c>
      <c r="D6" s="3" t="s">
        <v>30</v>
      </c>
      <c r="E6" s="19">
        <v>46140</v>
      </c>
      <c r="F6" s="6" t="s">
        <v>31</v>
      </c>
      <c r="G6" s="19">
        <f t="shared" si="0"/>
        <v>46112</v>
      </c>
      <c r="H6" s="19"/>
      <c r="I6" s="19">
        <f t="shared" si="1"/>
        <v>46112</v>
      </c>
      <c r="J6" s="6"/>
      <c r="K6" s="7" t="s">
        <v>32</v>
      </c>
      <c r="L6" s="6" t="s">
        <v>19</v>
      </c>
    </row>
    <row r="7" spans="1:13" ht="30.75" customHeight="1">
      <c r="A7" s="6" t="s">
        <v>27</v>
      </c>
      <c r="B7" s="32" t="s">
        <v>33</v>
      </c>
      <c r="C7" s="45" t="s">
        <v>34</v>
      </c>
      <c r="D7" s="3" t="s">
        <v>35</v>
      </c>
      <c r="E7" s="19">
        <v>46136</v>
      </c>
      <c r="F7" s="6" t="s">
        <v>36</v>
      </c>
      <c r="G7" s="19">
        <f t="shared" si="0"/>
        <v>46108</v>
      </c>
      <c r="H7" s="19"/>
      <c r="I7" s="19">
        <f t="shared" si="1"/>
        <v>46108</v>
      </c>
      <c r="J7" s="6"/>
      <c r="K7" s="7" t="s">
        <v>32</v>
      </c>
      <c r="L7" s="6" t="s">
        <v>19</v>
      </c>
    </row>
    <row r="8" spans="1:13" ht="30.75" customHeight="1">
      <c r="A8" s="6" t="s">
        <v>27</v>
      </c>
      <c r="B8" s="32" t="s">
        <v>37</v>
      </c>
      <c r="C8" s="45" t="s">
        <v>38</v>
      </c>
      <c r="D8" s="3" t="s">
        <v>39</v>
      </c>
      <c r="E8" s="19">
        <v>46101</v>
      </c>
      <c r="F8" s="6" t="s">
        <v>36</v>
      </c>
      <c r="G8" s="19">
        <f t="shared" si="0"/>
        <v>46073</v>
      </c>
      <c r="H8" s="19"/>
      <c r="I8" s="19">
        <f t="shared" si="1"/>
        <v>46073</v>
      </c>
      <c r="J8" s="6"/>
      <c r="K8" s="7" t="s">
        <v>32</v>
      </c>
      <c r="L8" s="38" t="s">
        <v>19</v>
      </c>
      <c r="M8" s="35"/>
    </row>
    <row r="9" spans="1:13" ht="30">
      <c r="A9" s="6" t="s">
        <v>27</v>
      </c>
      <c r="B9" s="32" t="s">
        <v>40</v>
      </c>
      <c r="C9" s="45" t="s">
        <v>41</v>
      </c>
      <c r="D9" s="3" t="s">
        <v>42</v>
      </c>
      <c r="E9" s="19">
        <v>46100</v>
      </c>
      <c r="F9" s="6" t="s">
        <v>43</v>
      </c>
      <c r="G9" s="19">
        <f t="shared" si="0"/>
        <v>46072</v>
      </c>
      <c r="H9" s="19"/>
      <c r="I9" s="19">
        <f t="shared" si="1"/>
        <v>46072</v>
      </c>
      <c r="J9" s="6"/>
      <c r="K9" s="7" t="s">
        <v>32</v>
      </c>
      <c r="L9" s="38" t="s">
        <v>19</v>
      </c>
      <c r="M9" s="35"/>
    </row>
    <row r="10" spans="1:13" ht="37.5" customHeight="1">
      <c r="A10" s="47" t="s">
        <v>27</v>
      </c>
      <c r="B10" s="48" t="s">
        <v>44</v>
      </c>
      <c r="C10" s="48" t="s">
        <v>45</v>
      </c>
      <c r="D10" s="50" t="s">
        <v>46</v>
      </c>
      <c r="E10" s="19">
        <v>46128</v>
      </c>
      <c r="F10" s="49" t="s">
        <v>47</v>
      </c>
      <c r="G10" s="19">
        <f t="shared" ref="G10:G11" si="2">E10-28</f>
        <v>46100</v>
      </c>
      <c r="H10" s="19"/>
      <c r="I10" s="19">
        <f t="shared" ref="I10:I11" si="3">E10-28</f>
        <v>46100</v>
      </c>
      <c r="J10" s="6"/>
      <c r="K10" s="7" t="s">
        <v>32</v>
      </c>
      <c r="L10" s="6" t="s">
        <v>19</v>
      </c>
    </row>
    <row r="11" spans="1:13" ht="24.75" customHeight="1">
      <c r="A11" s="6" t="s">
        <v>27</v>
      </c>
      <c r="B11" s="2" t="s">
        <v>48</v>
      </c>
      <c r="C11" s="2" t="s">
        <v>49</v>
      </c>
      <c r="D11" s="56" t="s">
        <v>50</v>
      </c>
      <c r="E11" s="22">
        <v>46105</v>
      </c>
      <c r="F11" s="51" t="s">
        <v>31</v>
      </c>
      <c r="G11" s="19">
        <f t="shared" si="2"/>
        <v>46077</v>
      </c>
      <c r="H11" s="19"/>
      <c r="I11" s="19">
        <f t="shared" si="3"/>
        <v>46077</v>
      </c>
      <c r="J11" s="6"/>
      <c r="K11" s="7" t="s">
        <v>32</v>
      </c>
      <c r="L11" s="6" t="s">
        <v>19</v>
      </c>
    </row>
    <row r="12" spans="1:13" ht="33.75" customHeight="1">
      <c r="A12" s="6" t="s">
        <v>27</v>
      </c>
      <c r="B12" s="2" t="s">
        <v>40</v>
      </c>
      <c r="C12" s="2" t="s">
        <v>38</v>
      </c>
      <c r="D12" s="46" t="s">
        <v>51</v>
      </c>
      <c r="E12" s="19">
        <v>46223</v>
      </c>
      <c r="F12" s="7" t="s">
        <v>43</v>
      </c>
      <c r="G12" s="19">
        <f t="shared" ref="G12" si="4">E12-28</f>
        <v>46195</v>
      </c>
      <c r="H12" s="19"/>
      <c r="I12" s="19">
        <f t="shared" ref="I12" si="5">E12-28</f>
        <v>46195</v>
      </c>
      <c r="J12" s="6"/>
      <c r="K12" s="7" t="s">
        <v>32</v>
      </c>
      <c r="L12" s="6" t="s">
        <v>19</v>
      </c>
    </row>
    <row r="13" spans="1:13" ht="32.25" customHeight="1">
      <c r="A13" s="6" t="s">
        <v>27</v>
      </c>
      <c r="B13" s="2" t="s">
        <v>48</v>
      </c>
      <c r="C13" s="2" t="s">
        <v>45</v>
      </c>
      <c r="D13" s="31" t="s">
        <v>52</v>
      </c>
      <c r="E13" s="22">
        <v>46224</v>
      </c>
      <c r="F13" s="51" t="s">
        <v>31</v>
      </c>
      <c r="G13" s="19">
        <f t="shared" ref="G13" si="6">E13-28</f>
        <v>46196</v>
      </c>
      <c r="H13" s="19"/>
      <c r="I13" s="19">
        <f t="shared" ref="I13" si="7">E13-28</f>
        <v>46196</v>
      </c>
      <c r="J13" s="6"/>
      <c r="K13" s="7" t="s">
        <v>32</v>
      </c>
      <c r="L13" s="6" t="s">
        <v>19</v>
      </c>
    </row>
    <row r="14" spans="1:13" ht="28.5">
      <c r="A14" s="6" t="s">
        <v>27</v>
      </c>
      <c r="B14" s="2" t="s">
        <v>53</v>
      </c>
      <c r="C14" s="2" t="s">
        <v>54</v>
      </c>
      <c r="D14" s="56" t="s">
        <v>55</v>
      </c>
      <c r="E14" s="22">
        <v>46196</v>
      </c>
      <c r="F14" s="7" t="s">
        <v>56</v>
      </c>
      <c r="G14" s="19">
        <f>E14-28</f>
        <v>46168</v>
      </c>
      <c r="H14" s="19"/>
      <c r="I14" s="19">
        <f>E14-28</f>
        <v>46168</v>
      </c>
      <c r="J14" s="6"/>
      <c r="K14" s="7" t="s">
        <v>32</v>
      </c>
      <c r="L14" s="6" t="s">
        <v>19</v>
      </c>
    </row>
    <row r="15" spans="1:13">
      <c r="A15" s="6" t="s">
        <v>27</v>
      </c>
      <c r="B15" s="33" t="s">
        <v>57</v>
      </c>
      <c r="C15" s="33" t="s">
        <v>58</v>
      </c>
      <c r="D15" s="6" t="s">
        <v>59</v>
      </c>
      <c r="E15" s="22">
        <v>46174</v>
      </c>
      <c r="F15" s="7" t="s">
        <v>56</v>
      </c>
      <c r="G15" s="19">
        <f t="shared" si="0"/>
        <v>46146</v>
      </c>
      <c r="H15" s="19"/>
      <c r="I15" s="19">
        <f t="shared" si="1"/>
        <v>46146</v>
      </c>
      <c r="J15" s="6"/>
      <c r="K15" s="7" t="s">
        <v>32</v>
      </c>
      <c r="L15" s="6" t="s">
        <v>19</v>
      </c>
    </row>
    <row r="16" spans="1:13">
      <c r="A16" s="6" t="s">
        <v>27</v>
      </c>
      <c r="B16" s="34" t="s">
        <v>60</v>
      </c>
      <c r="C16" s="34" t="s">
        <v>61</v>
      </c>
      <c r="D16" s="6" t="s">
        <v>59</v>
      </c>
      <c r="E16" s="22">
        <v>46227</v>
      </c>
      <c r="F16" s="7" t="s">
        <v>62</v>
      </c>
      <c r="G16" s="19">
        <f t="shared" ref="G16:G17" si="8">E16-28</f>
        <v>46199</v>
      </c>
      <c r="H16" s="19"/>
      <c r="I16" s="19">
        <f t="shared" ref="I16:I17" si="9">E16-28</f>
        <v>46199</v>
      </c>
      <c r="J16" s="6"/>
      <c r="K16" s="7" t="s">
        <v>32</v>
      </c>
      <c r="L16" s="6" t="s">
        <v>19</v>
      </c>
    </row>
    <row r="17" spans="1:13">
      <c r="A17" s="6" t="s">
        <v>27</v>
      </c>
      <c r="B17" s="34" t="s">
        <v>63</v>
      </c>
      <c r="C17" s="34" t="s">
        <v>64</v>
      </c>
      <c r="D17" s="6" t="s">
        <v>59</v>
      </c>
      <c r="E17" s="22">
        <v>46199</v>
      </c>
      <c r="F17" s="7" t="s">
        <v>62</v>
      </c>
      <c r="G17" s="19">
        <f t="shared" si="8"/>
        <v>46171</v>
      </c>
      <c r="H17" s="19"/>
      <c r="I17" s="19">
        <f t="shared" si="9"/>
        <v>46171</v>
      </c>
      <c r="J17" s="6"/>
      <c r="K17" s="7" t="s">
        <v>32</v>
      </c>
      <c r="L17" s="6" t="s">
        <v>19</v>
      </c>
    </row>
    <row r="18" spans="1:13">
      <c r="A18" s="6" t="s">
        <v>65</v>
      </c>
      <c r="B18" s="53" t="s">
        <v>66</v>
      </c>
      <c r="C18" s="54" t="s">
        <v>67</v>
      </c>
      <c r="D18" s="52" t="s">
        <v>68</v>
      </c>
      <c r="E18" s="22">
        <v>46057</v>
      </c>
      <c r="F18" s="7" t="s">
        <v>69</v>
      </c>
      <c r="G18" s="19">
        <f t="shared" si="0"/>
        <v>46029</v>
      </c>
      <c r="H18" s="19"/>
      <c r="I18" s="19">
        <f t="shared" si="1"/>
        <v>46029</v>
      </c>
      <c r="J18" s="40">
        <v>46030</v>
      </c>
      <c r="K18" s="7" t="s">
        <v>18</v>
      </c>
      <c r="L18" s="38" t="s">
        <v>19</v>
      </c>
      <c r="M18" s="35" t="s">
        <v>70</v>
      </c>
    </row>
    <row r="19" spans="1:13">
      <c r="A19" s="6" t="s">
        <v>65</v>
      </c>
      <c r="B19" s="2" t="s">
        <v>71</v>
      </c>
      <c r="C19" s="2" t="s">
        <v>72</v>
      </c>
      <c r="D19" s="6" t="s">
        <v>73</v>
      </c>
      <c r="E19" s="22">
        <v>46063</v>
      </c>
      <c r="F19" s="7" t="s">
        <v>69</v>
      </c>
      <c r="G19" s="19">
        <f t="shared" si="0"/>
        <v>46035</v>
      </c>
      <c r="H19" s="19"/>
      <c r="I19" s="19">
        <f t="shared" si="1"/>
        <v>46035</v>
      </c>
      <c r="J19" s="40">
        <v>46034</v>
      </c>
      <c r="K19" s="7" t="s">
        <v>18</v>
      </c>
      <c r="L19" s="38" t="s">
        <v>19</v>
      </c>
      <c r="M19" s="35" t="s">
        <v>74</v>
      </c>
    </row>
    <row r="20" spans="1:13">
      <c r="A20" s="6" t="s">
        <v>65</v>
      </c>
      <c r="B20" s="53" t="s">
        <v>75</v>
      </c>
      <c r="C20" s="53" t="s">
        <v>76</v>
      </c>
      <c r="D20" s="52" t="s">
        <v>77</v>
      </c>
      <c r="E20" s="22">
        <v>46127</v>
      </c>
      <c r="F20" s="7" t="s">
        <v>69</v>
      </c>
      <c r="G20" s="19">
        <f>E20-28</f>
        <v>46099</v>
      </c>
      <c r="H20" s="19"/>
      <c r="I20" s="19">
        <f>E20-28</f>
        <v>46099</v>
      </c>
      <c r="J20" s="6"/>
      <c r="K20" s="7" t="s">
        <v>18</v>
      </c>
      <c r="L20" s="38" t="s">
        <v>19</v>
      </c>
      <c r="M20" s="35" t="s">
        <v>78</v>
      </c>
    </row>
    <row r="21" spans="1:13">
      <c r="A21" s="6" t="s">
        <v>65</v>
      </c>
      <c r="B21" s="53" t="s">
        <v>79</v>
      </c>
      <c r="C21" s="53" t="s">
        <v>80</v>
      </c>
      <c r="D21" s="52" t="s">
        <v>81</v>
      </c>
      <c r="E21" s="22">
        <v>46127</v>
      </c>
      <c r="F21" s="7" t="s">
        <v>69</v>
      </c>
      <c r="G21" s="19">
        <f>E21-28</f>
        <v>46099</v>
      </c>
      <c r="H21" s="19"/>
      <c r="I21" s="19">
        <f>E21-28</f>
        <v>46099</v>
      </c>
      <c r="J21" s="6"/>
      <c r="K21" s="7" t="s">
        <v>18</v>
      </c>
      <c r="L21" s="6" t="s">
        <v>19</v>
      </c>
      <c r="M21" s="1" t="s">
        <v>78</v>
      </c>
    </row>
    <row r="22" spans="1:13">
      <c r="A22" s="6" t="s">
        <v>65</v>
      </c>
      <c r="B22" s="54" t="s">
        <v>82</v>
      </c>
      <c r="C22" s="53" t="s">
        <v>83</v>
      </c>
      <c r="D22" s="52" t="s">
        <v>84</v>
      </c>
      <c r="E22" s="22">
        <v>46132</v>
      </c>
      <c r="F22" s="7" t="s">
        <v>85</v>
      </c>
      <c r="G22" s="19">
        <f t="shared" si="0"/>
        <v>46104</v>
      </c>
      <c r="H22" s="19"/>
      <c r="I22" s="19">
        <f t="shared" si="1"/>
        <v>46104</v>
      </c>
      <c r="J22" s="6"/>
      <c r="K22" s="7" t="s">
        <v>18</v>
      </c>
      <c r="L22" s="6" t="s">
        <v>19</v>
      </c>
      <c r="M22" s="1" t="s">
        <v>78</v>
      </c>
    </row>
    <row r="23" spans="1:13">
      <c r="A23" s="57" t="s">
        <v>65</v>
      </c>
      <c r="B23" s="58" t="s">
        <v>86</v>
      </c>
      <c r="C23" s="59" t="s">
        <v>87</v>
      </c>
      <c r="D23" s="57" t="s">
        <v>88</v>
      </c>
      <c r="E23" s="60">
        <v>46179</v>
      </c>
      <c r="F23" s="61" t="s">
        <v>69</v>
      </c>
      <c r="G23" s="62">
        <f t="shared" ref="G23:G24" si="10">E23-28</f>
        <v>46151</v>
      </c>
      <c r="H23" s="62"/>
      <c r="I23" s="62">
        <f t="shared" ref="I23:I24" si="11">E23-28</f>
        <v>46151</v>
      </c>
      <c r="J23" s="57"/>
      <c r="K23" s="61" t="s">
        <v>18</v>
      </c>
      <c r="L23" s="57" t="s">
        <v>19</v>
      </c>
    </row>
    <row r="24" spans="1:13">
      <c r="A24" s="6" t="s">
        <v>65</v>
      </c>
      <c r="B24" s="55" t="s">
        <v>89</v>
      </c>
      <c r="C24" s="53" t="s">
        <v>90</v>
      </c>
      <c r="D24" s="52" t="s">
        <v>91</v>
      </c>
      <c r="E24" s="22">
        <v>46179</v>
      </c>
      <c r="F24" s="7" t="s">
        <v>69</v>
      </c>
      <c r="G24" s="19">
        <f t="shared" si="10"/>
        <v>46151</v>
      </c>
      <c r="H24" s="19"/>
      <c r="I24" s="19">
        <f t="shared" si="11"/>
        <v>46151</v>
      </c>
      <c r="J24" s="6"/>
      <c r="K24" s="7" t="s">
        <v>18</v>
      </c>
      <c r="L24" s="6" t="s">
        <v>19</v>
      </c>
      <c r="M24" s="1" t="s">
        <v>78</v>
      </c>
    </row>
    <row r="25" spans="1:13">
      <c r="A25" s="8" t="s">
        <v>92</v>
      </c>
      <c r="B25" s="8" t="s">
        <v>93</v>
      </c>
      <c r="C25" s="8" t="s">
        <v>94</v>
      </c>
      <c r="D25" s="8" t="s">
        <v>95</v>
      </c>
      <c r="E25" s="20">
        <v>46128</v>
      </c>
      <c r="F25" s="8" t="s">
        <v>96</v>
      </c>
      <c r="G25" s="19">
        <f t="shared" si="0"/>
        <v>46100</v>
      </c>
      <c r="H25" s="19"/>
      <c r="I25" s="19">
        <f t="shared" si="1"/>
        <v>46100</v>
      </c>
      <c r="J25" s="8"/>
      <c r="K25" s="8" t="s">
        <v>32</v>
      </c>
      <c r="L25" s="8" t="s">
        <v>97</v>
      </c>
    </row>
    <row r="26" spans="1:13">
      <c r="A26" s="8" t="s">
        <v>98</v>
      </c>
      <c r="B26" s="8" t="s">
        <v>99</v>
      </c>
      <c r="C26" s="8" t="s">
        <v>100</v>
      </c>
      <c r="D26" s="8" t="s">
        <v>101</v>
      </c>
      <c r="E26" s="20">
        <v>46079</v>
      </c>
      <c r="F26" s="8" t="s">
        <v>102</v>
      </c>
      <c r="G26" s="19">
        <f t="shared" ref="G26:G46" si="12">E26-28</f>
        <v>46051</v>
      </c>
      <c r="H26" s="19"/>
      <c r="I26" s="19">
        <f t="shared" ref="I26:I46" si="13">E26-28</f>
        <v>46051</v>
      </c>
      <c r="J26" s="8"/>
      <c r="K26" s="8" t="s">
        <v>32</v>
      </c>
      <c r="L26" s="39" t="s">
        <v>97</v>
      </c>
      <c r="M26" s="36" t="s">
        <v>103</v>
      </c>
    </row>
    <row r="27" spans="1:13">
      <c r="A27" s="8" t="s">
        <v>92</v>
      </c>
      <c r="B27" s="8" t="s">
        <v>104</v>
      </c>
      <c r="C27" s="8" t="s">
        <v>105</v>
      </c>
      <c r="D27" s="8" t="s">
        <v>106</v>
      </c>
      <c r="E27" s="20">
        <v>46111</v>
      </c>
      <c r="F27" s="8" t="s">
        <v>107</v>
      </c>
      <c r="G27" s="19">
        <f t="shared" si="12"/>
        <v>46083</v>
      </c>
      <c r="H27" s="19"/>
      <c r="I27" s="19">
        <f t="shared" si="13"/>
        <v>46083</v>
      </c>
      <c r="J27" s="8"/>
      <c r="K27" s="8" t="s">
        <v>32</v>
      </c>
      <c r="L27" s="8" t="s">
        <v>97</v>
      </c>
    </row>
    <row r="28" spans="1:13">
      <c r="A28" s="8" t="s">
        <v>92</v>
      </c>
      <c r="B28" s="8" t="s">
        <v>108</v>
      </c>
      <c r="C28" s="8" t="s">
        <v>109</v>
      </c>
      <c r="D28" s="8" t="s">
        <v>110</v>
      </c>
      <c r="E28" s="20">
        <v>46135</v>
      </c>
      <c r="F28" s="8" t="s">
        <v>111</v>
      </c>
      <c r="G28" s="19">
        <f t="shared" si="12"/>
        <v>46107</v>
      </c>
      <c r="H28" s="19"/>
      <c r="I28" s="19">
        <f t="shared" si="13"/>
        <v>46107</v>
      </c>
      <c r="J28" s="8"/>
      <c r="K28" s="8" t="s">
        <v>32</v>
      </c>
      <c r="L28" s="8" t="s">
        <v>97</v>
      </c>
    </row>
    <row r="29" spans="1:13">
      <c r="A29" s="8" t="s">
        <v>92</v>
      </c>
      <c r="B29" s="8" t="s">
        <v>112</v>
      </c>
      <c r="C29" s="8" t="s">
        <v>113</v>
      </c>
      <c r="D29" s="8" t="s">
        <v>114</v>
      </c>
      <c r="E29" s="20">
        <v>46135</v>
      </c>
      <c r="F29" s="8" t="s">
        <v>115</v>
      </c>
      <c r="G29" s="19">
        <f t="shared" si="12"/>
        <v>46107</v>
      </c>
      <c r="H29" s="19"/>
      <c r="I29" s="19">
        <f t="shared" si="13"/>
        <v>46107</v>
      </c>
      <c r="J29" s="8"/>
      <c r="K29" s="8" t="s">
        <v>32</v>
      </c>
      <c r="L29" s="8" t="s">
        <v>97</v>
      </c>
    </row>
    <row r="30" spans="1:13">
      <c r="A30" s="8" t="s">
        <v>116</v>
      </c>
      <c r="B30" s="8" t="s">
        <v>117</v>
      </c>
      <c r="C30" s="8" t="s">
        <v>118</v>
      </c>
      <c r="D30" s="8" t="s">
        <v>119</v>
      </c>
      <c r="E30" s="20">
        <v>46080</v>
      </c>
      <c r="F30" s="8" t="s">
        <v>120</v>
      </c>
      <c r="G30" s="19">
        <f t="shared" si="12"/>
        <v>46052</v>
      </c>
      <c r="H30" s="19"/>
      <c r="I30" s="19">
        <f t="shared" si="13"/>
        <v>46052</v>
      </c>
      <c r="J30" s="8"/>
      <c r="K30" s="8" t="s">
        <v>32</v>
      </c>
      <c r="L30" s="39" t="s">
        <v>97</v>
      </c>
      <c r="M30" s="35" t="s">
        <v>103</v>
      </c>
    </row>
    <row r="31" spans="1:13">
      <c r="A31" s="8" t="s">
        <v>116</v>
      </c>
      <c r="B31" s="8" t="s">
        <v>121</v>
      </c>
      <c r="C31" s="8" t="s">
        <v>122</v>
      </c>
      <c r="D31" s="8" t="s">
        <v>123</v>
      </c>
      <c r="E31" s="20">
        <v>46107</v>
      </c>
      <c r="F31" s="8" t="s">
        <v>124</v>
      </c>
      <c r="G31" s="19">
        <f t="shared" si="12"/>
        <v>46079</v>
      </c>
      <c r="H31" s="19"/>
      <c r="I31" s="19">
        <f t="shared" si="13"/>
        <v>46079</v>
      </c>
      <c r="J31" s="8"/>
      <c r="K31" s="8" t="s">
        <v>32</v>
      </c>
      <c r="L31" s="39" t="s">
        <v>97</v>
      </c>
      <c r="M31" s="35"/>
    </row>
    <row r="32" spans="1:13">
      <c r="A32" s="8" t="s">
        <v>116</v>
      </c>
      <c r="B32" s="8" t="s">
        <v>125</v>
      </c>
      <c r="C32" s="8" t="s">
        <v>126</v>
      </c>
      <c r="D32" s="41" t="s">
        <v>127</v>
      </c>
      <c r="E32" s="20">
        <v>46087</v>
      </c>
      <c r="F32" s="8" t="s">
        <v>124</v>
      </c>
      <c r="G32" s="19">
        <f t="shared" si="12"/>
        <v>46059</v>
      </c>
      <c r="H32" s="19"/>
      <c r="I32" s="19">
        <f t="shared" si="13"/>
        <v>46059</v>
      </c>
      <c r="J32" s="8"/>
      <c r="K32" s="8" t="s">
        <v>32</v>
      </c>
      <c r="L32" s="39" t="s">
        <v>97</v>
      </c>
      <c r="M32" s="35"/>
    </row>
    <row r="33" spans="1:13">
      <c r="A33" s="8" t="s">
        <v>128</v>
      </c>
      <c r="B33" s="8" t="s">
        <v>129</v>
      </c>
      <c r="C33" s="8" t="s">
        <v>130</v>
      </c>
      <c r="D33" s="8" t="s">
        <v>131</v>
      </c>
      <c r="E33" s="20">
        <v>46064</v>
      </c>
      <c r="F33" s="8" t="s">
        <v>132</v>
      </c>
      <c r="G33" s="19">
        <f t="shared" si="12"/>
        <v>46036</v>
      </c>
      <c r="H33" s="19"/>
      <c r="I33" s="19">
        <f t="shared" si="13"/>
        <v>46036</v>
      </c>
      <c r="J33" s="8"/>
      <c r="K33" s="8" t="s">
        <v>32</v>
      </c>
      <c r="L33" s="39" t="s">
        <v>97</v>
      </c>
      <c r="M33" s="35" t="s">
        <v>103</v>
      </c>
    </row>
    <row r="34" spans="1:13">
      <c r="A34" s="8" t="s">
        <v>128</v>
      </c>
      <c r="B34" s="8" t="s">
        <v>133</v>
      </c>
      <c r="C34" s="8" t="s">
        <v>134</v>
      </c>
      <c r="D34" s="8" t="s">
        <v>135</v>
      </c>
      <c r="E34" s="20">
        <v>46066</v>
      </c>
      <c r="F34" s="8" t="s">
        <v>96</v>
      </c>
      <c r="G34" s="19">
        <f t="shared" si="12"/>
        <v>46038</v>
      </c>
      <c r="H34" s="19"/>
      <c r="I34" s="19">
        <f t="shared" si="13"/>
        <v>46038</v>
      </c>
      <c r="J34" s="8"/>
      <c r="K34" s="8" t="s">
        <v>32</v>
      </c>
      <c r="L34" s="39" t="s">
        <v>97</v>
      </c>
      <c r="M34" s="35" t="s">
        <v>103</v>
      </c>
    </row>
    <row r="35" spans="1:13">
      <c r="A35" s="8" t="s">
        <v>128</v>
      </c>
      <c r="B35" s="8" t="s">
        <v>136</v>
      </c>
      <c r="C35" s="8" t="s">
        <v>134</v>
      </c>
      <c r="D35" s="8" t="s">
        <v>137</v>
      </c>
      <c r="E35" s="20">
        <v>46099</v>
      </c>
      <c r="F35" s="8" t="s">
        <v>138</v>
      </c>
      <c r="G35" s="19">
        <f t="shared" si="12"/>
        <v>46071</v>
      </c>
      <c r="H35" s="19"/>
      <c r="I35" s="19">
        <f t="shared" si="13"/>
        <v>46071</v>
      </c>
      <c r="J35" s="8"/>
      <c r="K35" s="8" t="s">
        <v>32</v>
      </c>
      <c r="L35" s="39" t="s">
        <v>97</v>
      </c>
      <c r="M35" s="35"/>
    </row>
    <row r="36" spans="1:13">
      <c r="A36" s="8" t="s">
        <v>128</v>
      </c>
      <c r="B36" s="8" t="s">
        <v>139</v>
      </c>
      <c r="C36" s="8" t="s">
        <v>140</v>
      </c>
      <c r="D36" s="8" t="s">
        <v>141</v>
      </c>
      <c r="E36" s="20">
        <v>46100</v>
      </c>
      <c r="F36" s="8" t="s">
        <v>142</v>
      </c>
      <c r="G36" s="19">
        <f t="shared" si="12"/>
        <v>46072</v>
      </c>
      <c r="H36" s="19"/>
      <c r="I36" s="19">
        <f t="shared" si="13"/>
        <v>46072</v>
      </c>
      <c r="J36" s="8"/>
      <c r="K36" s="8" t="s">
        <v>32</v>
      </c>
      <c r="L36" s="39" t="s">
        <v>97</v>
      </c>
      <c r="M36" s="35"/>
    </row>
    <row r="37" spans="1:13">
      <c r="A37" s="8" t="s">
        <v>128</v>
      </c>
      <c r="B37" s="8" t="s">
        <v>143</v>
      </c>
      <c r="C37" s="8" t="s">
        <v>144</v>
      </c>
      <c r="D37" s="8" t="s">
        <v>145</v>
      </c>
      <c r="E37" s="20">
        <v>46108</v>
      </c>
      <c r="F37" s="8" t="s">
        <v>146</v>
      </c>
      <c r="G37" s="19">
        <f t="shared" si="12"/>
        <v>46080</v>
      </c>
      <c r="H37" s="19"/>
      <c r="I37" s="19">
        <f t="shared" si="13"/>
        <v>46080</v>
      </c>
      <c r="J37" s="8"/>
      <c r="K37" s="8" t="s">
        <v>32</v>
      </c>
      <c r="L37" s="39" t="s">
        <v>97</v>
      </c>
      <c r="M37" s="35"/>
    </row>
    <row r="38" spans="1:13">
      <c r="A38" s="8" t="s">
        <v>128</v>
      </c>
      <c r="B38" s="8" t="s">
        <v>147</v>
      </c>
      <c r="C38" s="8" t="s">
        <v>148</v>
      </c>
      <c r="D38" s="8" t="s">
        <v>149</v>
      </c>
      <c r="E38" s="20">
        <v>46113</v>
      </c>
      <c r="F38" s="8" t="s">
        <v>150</v>
      </c>
      <c r="G38" s="19">
        <f t="shared" si="12"/>
        <v>46085</v>
      </c>
      <c r="H38" s="19"/>
      <c r="I38" s="19">
        <f t="shared" si="13"/>
        <v>46085</v>
      </c>
      <c r="J38" s="8"/>
      <c r="K38" s="8" t="s">
        <v>32</v>
      </c>
      <c r="L38" s="8" t="s">
        <v>97</v>
      </c>
    </row>
    <row r="39" spans="1:13">
      <c r="A39" s="8" t="s">
        <v>151</v>
      </c>
      <c r="B39" s="8" t="s">
        <v>152</v>
      </c>
      <c r="C39" s="8" t="s">
        <v>153</v>
      </c>
      <c r="D39" s="8" t="s">
        <v>154</v>
      </c>
      <c r="E39" s="20">
        <v>46106</v>
      </c>
      <c r="F39" s="8" t="s">
        <v>132</v>
      </c>
      <c r="G39" s="19">
        <f t="shared" si="12"/>
        <v>46078</v>
      </c>
      <c r="H39" s="19"/>
      <c r="I39" s="19">
        <f t="shared" si="13"/>
        <v>46078</v>
      </c>
      <c r="J39" s="8"/>
      <c r="K39" s="8" t="s">
        <v>32</v>
      </c>
      <c r="L39" s="39" t="s">
        <v>97</v>
      </c>
      <c r="M39" s="35"/>
    </row>
    <row r="40" spans="1:13">
      <c r="A40" s="8" t="s">
        <v>151</v>
      </c>
      <c r="B40" s="8" t="s">
        <v>155</v>
      </c>
      <c r="C40" s="8" t="s">
        <v>156</v>
      </c>
      <c r="D40" s="8" t="s">
        <v>157</v>
      </c>
      <c r="E40" s="20">
        <v>46099</v>
      </c>
      <c r="F40" s="8" t="s">
        <v>138</v>
      </c>
      <c r="G40" s="19">
        <f t="shared" si="12"/>
        <v>46071</v>
      </c>
      <c r="H40" s="19"/>
      <c r="I40" s="19">
        <f t="shared" si="13"/>
        <v>46071</v>
      </c>
      <c r="J40" s="8"/>
      <c r="K40" s="8" t="s">
        <v>32</v>
      </c>
      <c r="L40" s="39" t="s">
        <v>97</v>
      </c>
      <c r="M40" s="35"/>
    </row>
    <row r="41" spans="1:13">
      <c r="A41" s="8" t="s">
        <v>151</v>
      </c>
      <c r="B41" s="8" t="s">
        <v>158</v>
      </c>
      <c r="C41" s="8" t="s">
        <v>159</v>
      </c>
      <c r="D41" s="8" t="s">
        <v>160</v>
      </c>
      <c r="E41" s="20">
        <v>46107</v>
      </c>
      <c r="F41" s="8" t="s">
        <v>142</v>
      </c>
      <c r="G41" s="19">
        <f t="shared" si="12"/>
        <v>46079</v>
      </c>
      <c r="H41" s="19"/>
      <c r="I41" s="19">
        <f t="shared" si="13"/>
        <v>46079</v>
      </c>
      <c r="J41" s="8"/>
      <c r="K41" s="8" t="s">
        <v>32</v>
      </c>
      <c r="L41" s="39" t="s">
        <v>97</v>
      </c>
      <c r="M41" s="35"/>
    </row>
    <row r="42" spans="1:13">
      <c r="A42" s="8" t="s">
        <v>151</v>
      </c>
      <c r="B42" s="8" t="s">
        <v>161</v>
      </c>
      <c r="C42" s="8" t="s">
        <v>153</v>
      </c>
      <c r="D42" s="8" t="s">
        <v>162</v>
      </c>
      <c r="E42" s="20">
        <v>46111</v>
      </c>
      <c r="F42" s="8" t="s">
        <v>163</v>
      </c>
      <c r="G42" s="19">
        <f t="shared" si="12"/>
        <v>46083</v>
      </c>
      <c r="H42" s="19"/>
      <c r="I42" s="19">
        <f t="shared" si="13"/>
        <v>46083</v>
      </c>
      <c r="J42" s="8"/>
      <c r="K42" s="8" t="s">
        <v>32</v>
      </c>
      <c r="L42" s="8" t="s">
        <v>97</v>
      </c>
    </row>
    <row r="43" spans="1:13">
      <c r="A43" s="8" t="s">
        <v>151</v>
      </c>
      <c r="B43" s="8" t="s">
        <v>164</v>
      </c>
      <c r="C43" s="8" t="s">
        <v>165</v>
      </c>
      <c r="D43" s="8" t="s">
        <v>166</v>
      </c>
      <c r="E43" s="20">
        <v>46136</v>
      </c>
      <c r="F43" s="8" t="s">
        <v>167</v>
      </c>
      <c r="G43" s="19">
        <f t="shared" si="12"/>
        <v>46108</v>
      </c>
      <c r="H43" s="19"/>
      <c r="I43" s="19">
        <f t="shared" si="13"/>
        <v>46108</v>
      </c>
      <c r="J43" s="8"/>
      <c r="K43" s="8" t="s">
        <v>32</v>
      </c>
      <c r="L43" s="8" t="s">
        <v>97</v>
      </c>
    </row>
    <row r="44" spans="1:13">
      <c r="A44" s="8" t="s">
        <v>151</v>
      </c>
      <c r="B44" s="8" t="s">
        <v>168</v>
      </c>
      <c r="C44" s="8" t="s">
        <v>169</v>
      </c>
      <c r="D44" s="8" t="s">
        <v>170</v>
      </c>
      <c r="E44" s="20">
        <v>46174</v>
      </c>
      <c r="F44" s="8" t="s">
        <v>171</v>
      </c>
      <c r="G44" s="19">
        <f t="shared" si="12"/>
        <v>46146</v>
      </c>
      <c r="H44" s="19"/>
      <c r="I44" s="19">
        <f t="shared" si="13"/>
        <v>46146</v>
      </c>
      <c r="J44" s="8"/>
      <c r="K44" s="8" t="s">
        <v>32</v>
      </c>
      <c r="L44" s="8" t="s">
        <v>97</v>
      </c>
    </row>
    <row r="45" spans="1:13" ht="15.75">
      <c r="A45" s="10" t="s">
        <v>172</v>
      </c>
      <c r="B45" s="10" t="s">
        <v>173</v>
      </c>
      <c r="C45" s="10" t="s">
        <v>174</v>
      </c>
      <c r="D45" s="10" t="s">
        <v>175</v>
      </c>
      <c r="E45" s="23">
        <v>46066</v>
      </c>
      <c r="F45" s="11" t="s">
        <v>176</v>
      </c>
      <c r="G45" s="19">
        <f t="shared" si="12"/>
        <v>46038</v>
      </c>
      <c r="H45" s="19"/>
      <c r="I45" s="19">
        <f t="shared" si="13"/>
        <v>46038</v>
      </c>
      <c r="J45" s="8"/>
      <c r="K45" s="11" t="s">
        <v>18</v>
      </c>
      <c r="L45" s="39" t="s">
        <v>97</v>
      </c>
      <c r="M45" s="35" t="s">
        <v>177</v>
      </c>
    </row>
    <row r="46" spans="1:13" ht="15.75">
      <c r="A46" s="10" t="s">
        <v>172</v>
      </c>
      <c r="B46" s="10" t="s">
        <v>178</v>
      </c>
      <c r="C46" s="10" t="s">
        <v>179</v>
      </c>
      <c r="D46" s="10" t="s">
        <v>180</v>
      </c>
      <c r="E46" s="23">
        <v>46066</v>
      </c>
      <c r="F46" s="11" t="s">
        <v>181</v>
      </c>
      <c r="G46" s="19">
        <f t="shared" si="12"/>
        <v>46038</v>
      </c>
      <c r="H46" s="19"/>
      <c r="I46" s="19">
        <f t="shared" si="13"/>
        <v>46038</v>
      </c>
      <c r="J46" s="8"/>
      <c r="K46" s="11" t="s">
        <v>18</v>
      </c>
      <c r="L46" s="39" t="s">
        <v>97</v>
      </c>
      <c r="M46" s="35" t="s">
        <v>177</v>
      </c>
    </row>
    <row r="47" spans="1:13" ht="15.75">
      <c r="A47" s="10" t="s">
        <v>172</v>
      </c>
      <c r="B47" s="10" t="s">
        <v>182</v>
      </c>
      <c r="C47" s="10" t="s">
        <v>179</v>
      </c>
      <c r="D47" s="10" t="s">
        <v>183</v>
      </c>
      <c r="E47" s="23">
        <v>46082</v>
      </c>
      <c r="F47" s="11" t="s">
        <v>184</v>
      </c>
      <c r="G47" s="19">
        <f t="shared" si="0"/>
        <v>46054</v>
      </c>
      <c r="H47" s="19"/>
      <c r="I47" s="19">
        <f t="shared" si="1"/>
        <v>46054</v>
      </c>
      <c r="J47" s="8"/>
      <c r="K47" s="11" t="s">
        <v>18</v>
      </c>
      <c r="L47" s="39" t="s">
        <v>97</v>
      </c>
      <c r="M47" s="35"/>
    </row>
    <row r="48" spans="1:13" ht="15.75">
      <c r="A48" s="10" t="s">
        <v>172</v>
      </c>
      <c r="B48" s="10" t="s">
        <v>185</v>
      </c>
      <c r="C48" s="10" t="s">
        <v>179</v>
      </c>
      <c r="D48" s="10" t="s">
        <v>186</v>
      </c>
      <c r="E48" s="23">
        <v>46082</v>
      </c>
      <c r="F48" s="11" t="s">
        <v>184</v>
      </c>
      <c r="G48" s="19">
        <f t="shared" si="0"/>
        <v>46054</v>
      </c>
      <c r="H48" s="19"/>
      <c r="I48" s="19">
        <f t="shared" si="1"/>
        <v>46054</v>
      </c>
      <c r="J48" s="8"/>
      <c r="K48" s="11" t="s">
        <v>18</v>
      </c>
      <c r="L48" s="39" t="s">
        <v>97</v>
      </c>
      <c r="M48" s="35"/>
    </row>
    <row r="49" spans="1:13" ht="15.75">
      <c r="A49" s="10" t="s">
        <v>187</v>
      </c>
      <c r="B49" s="10" t="s">
        <v>188</v>
      </c>
      <c r="C49" s="10" t="s">
        <v>189</v>
      </c>
      <c r="D49" s="10" t="s">
        <v>190</v>
      </c>
      <c r="E49" s="23">
        <v>46082</v>
      </c>
      <c r="F49" s="11" t="s">
        <v>184</v>
      </c>
      <c r="G49" s="19">
        <f t="shared" si="0"/>
        <v>46054</v>
      </c>
      <c r="H49" s="19"/>
      <c r="I49" s="19">
        <f t="shared" si="1"/>
        <v>46054</v>
      </c>
      <c r="J49" s="8"/>
      <c r="K49" s="11" t="s">
        <v>18</v>
      </c>
      <c r="L49" s="39" t="s">
        <v>97</v>
      </c>
      <c r="M49" s="35"/>
    </row>
    <row r="50" spans="1:13" ht="15.75">
      <c r="A50" s="10" t="s">
        <v>172</v>
      </c>
      <c r="B50" s="10" t="s">
        <v>191</v>
      </c>
      <c r="C50" s="10" t="s">
        <v>179</v>
      </c>
      <c r="D50" s="10" t="s">
        <v>192</v>
      </c>
      <c r="E50" s="23">
        <v>46082</v>
      </c>
      <c r="F50" s="11" t="s">
        <v>184</v>
      </c>
      <c r="G50" s="19">
        <f t="shared" si="0"/>
        <v>46054</v>
      </c>
      <c r="H50" s="19"/>
      <c r="I50" s="19">
        <f t="shared" si="1"/>
        <v>46054</v>
      </c>
      <c r="J50" s="8"/>
      <c r="K50" s="11" t="s">
        <v>18</v>
      </c>
      <c r="L50" s="39" t="s">
        <v>97</v>
      </c>
      <c r="M50" s="35"/>
    </row>
    <row r="51" spans="1:13" ht="15.75">
      <c r="A51" s="10" t="s">
        <v>193</v>
      </c>
      <c r="B51" s="10" t="s">
        <v>194</v>
      </c>
      <c r="C51" s="10" t="s">
        <v>195</v>
      </c>
      <c r="D51" s="10" t="s">
        <v>196</v>
      </c>
      <c r="E51" s="23">
        <v>46082</v>
      </c>
      <c r="F51" s="11" t="s">
        <v>184</v>
      </c>
      <c r="G51" s="19">
        <f t="shared" si="0"/>
        <v>46054</v>
      </c>
      <c r="H51" s="19"/>
      <c r="I51" s="19">
        <f t="shared" si="1"/>
        <v>46054</v>
      </c>
      <c r="J51" s="8"/>
      <c r="K51" s="11" t="s">
        <v>18</v>
      </c>
      <c r="L51" s="39" t="s">
        <v>97</v>
      </c>
      <c r="M51" s="35"/>
    </row>
    <row r="52" spans="1:13" ht="15.75">
      <c r="A52" s="10" t="s">
        <v>172</v>
      </c>
      <c r="B52" s="10" t="s">
        <v>197</v>
      </c>
      <c r="C52" s="10" t="s">
        <v>179</v>
      </c>
      <c r="D52" s="10" t="s">
        <v>198</v>
      </c>
      <c r="E52" s="23">
        <v>46082</v>
      </c>
      <c r="F52" s="11" t="s">
        <v>176</v>
      </c>
      <c r="G52" s="19">
        <f t="shared" si="0"/>
        <v>46054</v>
      </c>
      <c r="H52" s="19"/>
      <c r="I52" s="19">
        <f t="shared" si="1"/>
        <v>46054</v>
      </c>
      <c r="J52" s="8"/>
      <c r="K52" s="11" t="s">
        <v>18</v>
      </c>
      <c r="L52" s="39" t="s">
        <v>97</v>
      </c>
      <c r="M52" s="35"/>
    </row>
    <row r="53" spans="1:13" ht="15.75">
      <c r="A53" s="12" t="s">
        <v>199</v>
      </c>
      <c r="B53" s="10" t="s">
        <v>200</v>
      </c>
      <c r="C53" s="12" t="s">
        <v>201</v>
      </c>
      <c r="D53" s="10" t="s">
        <v>202</v>
      </c>
      <c r="E53" s="23">
        <v>46101</v>
      </c>
      <c r="F53" s="10" t="s">
        <v>203</v>
      </c>
      <c r="G53" s="19">
        <f t="shared" si="0"/>
        <v>46073</v>
      </c>
      <c r="H53" s="19"/>
      <c r="I53" s="19">
        <f t="shared" si="1"/>
        <v>46073</v>
      </c>
      <c r="J53" s="8"/>
      <c r="K53" s="11" t="s">
        <v>18</v>
      </c>
      <c r="L53" s="39" t="s">
        <v>97</v>
      </c>
      <c r="M53" s="35"/>
    </row>
    <row r="54" spans="1:13" ht="15.75">
      <c r="A54" s="10" t="s">
        <v>172</v>
      </c>
      <c r="B54" s="10" t="s">
        <v>204</v>
      </c>
      <c r="C54" s="10" t="s">
        <v>179</v>
      </c>
      <c r="D54" s="10" t="s">
        <v>205</v>
      </c>
      <c r="E54" s="20">
        <v>46122</v>
      </c>
      <c r="F54" s="11" t="s">
        <v>184</v>
      </c>
      <c r="G54" s="19">
        <f t="shared" si="0"/>
        <v>46094</v>
      </c>
      <c r="H54" s="19"/>
      <c r="I54" s="19">
        <f t="shared" si="1"/>
        <v>46094</v>
      </c>
      <c r="J54" s="8"/>
      <c r="K54" s="11" t="s">
        <v>18</v>
      </c>
      <c r="L54" s="8" t="s">
        <v>97</v>
      </c>
    </row>
    <row r="55" spans="1:13" ht="15.75">
      <c r="A55" s="10" t="s">
        <v>206</v>
      </c>
      <c r="B55" s="10" t="s">
        <v>207</v>
      </c>
      <c r="C55" s="10" t="s">
        <v>208</v>
      </c>
      <c r="D55" s="10" t="s">
        <v>209</v>
      </c>
      <c r="E55" s="20">
        <v>46091</v>
      </c>
      <c r="F55" s="10" t="s">
        <v>210</v>
      </c>
      <c r="G55" s="19">
        <f t="shared" si="0"/>
        <v>46063</v>
      </c>
      <c r="H55" s="19"/>
      <c r="I55" s="19">
        <f t="shared" si="1"/>
        <v>46063</v>
      </c>
      <c r="J55" s="8"/>
      <c r="K55" s="11" t="s">
        <v>18</v>
      </c>
      <c r="L55" s="39" t="s">
        <v>97</v>
      </c>
      <c r="M55" s="35"/>
    </row>
    <row r="56" spans="1:13" ht="15.75">
      <c r="A56" s="10" t="s">
        <v>172</v>
      </c>
      <c r="B56" s="10" t="s">
        <v>211</v>
      </c>
      <c r="C56" s="10" t="s">
        <v>212</v>
      </c>
      <c r="D56" s="10" t="s">
        <v>213</v>
      </c>
      <c r="E56" s="20" t="s">
        <v>214</v>
      </c>
      <c r="F56" s="11" t="s">
        <v>181</v>
      </c>
      <c r="G56" s="19" t="e">
        <f t="shared" si="0"/>
        <v>#VALUE!</v>
      </c>
      <c r="H56" s="19"/>
      <c r="I56" s="19" t="e">
        <f t="shared" si="1"/>
        <v>#VALUE!</v>
      </c>
      <c r="J56" s="8"/>
      <c r="K56" s="11" t="s">
        <v>18</v>
      </c>
      <c r="L56" s="8" t="s">
        <v>97</v>
      </c>
    </row>
    <row r="57" spans="1:13" ht="15.75">
      <c r="A57" s="10" t="s">
        <v>215</v>
      </c>
      <c r="B57" s="10" t="s">
        <v>216</v>
      </c>
      <c r="C57" s="10" t="s">
        <v>212</v>
      </c>
      <c r="D57" s="10" t="s">
        <v>217</v>
      </c>
      <c r="E57" s="20">
        <v>46115</v>
      </c>
      <c r="F57" s="11" t="s">
        <v>181</v>
      </c>
      <c r="G57" s="19">
        <f t="shared" si="0"/>
        <v>46087</v>
      </c>
      <c r="H57" s="19"/>
      <c r="I57" s="19">
        <f t="shared" si="1"/>
        <v>46087</v>
      </c>
      <c r="J57" s="8"/>
      <c r="K57" s="11" t="s">
        <v>18</v>
      </c>
      <c r="L57" s="8" t="s">
        <v>97</v>
      </c>
    </row>
    <row r="58" spans="1:13" ht="15.75">
      <c r="A58" s="10" t="s">
        <v>218</v>
      </c>
      <c r="B58" s="10" t="s">
        <v>219</v>
      </c>
      <c r="C58" s="10" t="s">
        <v>220</v>
      </c>
      <c r="D58" s="13" t="s">
        <v>221</v>
      </c>
      <c r="E58" s="20">
        <v>46154</v>
      </c>
      <c r="F58" s="10" t="s">
        <v>203</v>
      </c>
      <c r="G58" s="19">
        <f t="shared" si="0"/>
        <v>46126</v>
      </c>
      <c r="H58" s="19"/>
      <c r="I58" s="19">
        <f t="shared" si="1"/>
        <v>46126</v>
      </c>
      <c r="J58" s="8"/>
      <c r="K58" s="11" t="s">
        <v>18</v>
      </c>
      <c r="L58" s="8" t="s">
        <v>97</v>
      </c>
    </row>
    <row r="59" spans="1:13" ht="15.75">
      <c r="A59" s="10" t="s">
        <v>218</v>
      </c>
      <c r="B59" s="10" t="s">
        <v>222</v>
      </c>
      <c r="C59" s="10" t="s">
        <v>223</v>
      </c>
      <c r="D59" s="10" t="s">
        <v>224</v>
      </c>
      <c r="E59" s="20">
        <v>46139</v>
      </c>
      <c r="F59" s="10" t="s">
        <v>203</v>
      </c>
      <c r="G59" s="19">
        <f t="shared" si="0"/>
        <v>46111</v>
      </c>
      <c r="H59" s="19"/>
      <c r="I59" s="19">
        <f t="shared" si="1"/>
        <v>46111</v>
      </c>
      <c r="J59" s="8"/>
      <c r="K59" s="11" t="s">
        <v>18</v>
      </c>
      <c r="L59" s="8" t="s">
        <v>97</v>
      </c>
    </row>
    <row r="60" spans="1:13" ht="15.75">
      <c r="A60" s="10" t="s">
        <v>193</v>
      </c>
      <c r="B60" s="10" t="s">
        <v>225</v>
      </c>
      <c r="C60" s="10" t="s">
        <v>195</v>
      </c>
      <c r="D60" s="10" t="s">
        <v>226</v>
      </c>
      <c r="E60" s="20" t="s">
        <v>214</v>
      </c>
      <c r="F60" s="11" t="s">
        <v>184</v>
      </c>
      <c r="G60" s="19" t="e">
        <f t="shared" si="0"/>
        <v>#VALUE!</v>
      </c>
      <c r="H60" s="19"/>
      <c r="I60" s="19" t="e">
        <f t="shared" si="1"/>
        <v>#VALUE!</v>
      </c>
      <c r="J60" s="8"/>
      <c r="K60" s="11" t="s">
        <v>18</v>
      </c>
      <c r="L60" s="8" t="s">
        <v>97</v>
      </c>
    </row>
  </sheetData>
  <autoFilter ref="A2:L60" xr:uid="{1CC9C82F-9449-4A0B-8E17-91B75BCEC515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967D-98C2-423B-8CF6-910DCFFDCC62}">
  <dimension ref="A1:L25"/>
  <sheetViews>
    <sheetView topLeftCell="A6" workbookViewId="0">
      <selection activeCell="B19" sqref="B19:D22"/>
    </sheetView>
  </sheetViews>
  <sheetFormatPr defaultColWidth="9.125" defaultRowHeight="15"/>
  <cols>
    <col min="1" max="1" width="10.375" style="9" customWidth="1"/>
    <col min="2" max="2" width="19.625" style="9" customWidth="1"/>
    <col min="3" max="3" width="32.125" style="9" customWidth="1"/>
    <col min="4" max="4" width="15.25" style="9" customWidth="1"/>
    <col min="5" max="5" width="11.5" style="21" bestFit="1" customWidth="1"/>
    <col min="6" max="6" width="16.5" style="9" customWidth="1"/>
    <col min="7" max="8" width="13.375" style="21" customWidth="1"/>
    <col min="9" max="9" width="15.875" style="21" customWidth="1"/>
    <col min="10" max="10" width="16.75" style="21" customWidth="1"/>
    <col min="11" max="11" width="17.375" style="9" customWidth="1"/>
    <col min="12" max="12" width="25.375" style="9" customWidth="1"/>
    <col min="13" max="16384" width="9.125" style="9"/>
  </cols>
  <sheetData>
    <row r="1" spans="1:12">
      <c r="A1" s="5" t="s">
        <v>0</v>
      </c>
      <c r="B1" s="24" t="s">
        <v>1</v>
      </c>
      <c r="C1" s="24" t="s">
        <v>227</v>
      </c>
      <c r="D1" s="24" t="s">
        <v>3</v>
      </c>
      <c r="E1" s="25" t="s">
        <v>4</v>
      </c>
      <c r="F1" s="24" t="s">
        <v>5</v>
      </c>
      <c r="G1" s="25" t="s">
        <v>228</v>
      </c>
      <c r="H1" s="25" t="s">
        <v>229</v>
      </c>
      <c r="I1" s="25" t="s">
        <v>8</v>
      </c>
      <c r="J1" s="25" t="s">
        <v>9</v>
      </c>
      <c r="K1" s="24" t="s">
        <v>10</v>
      </c>
      <c r="L1" s="24" t="s">
        <v>230</v>
      </c>
    </row>
    <row r="2" spans="1:12">
      <c r="A2" s="6" t="s">
        <v>231</v>
      </c>
      <c r="B2" s="63" t="s">
        <v>232</v>
      </c>
      <c r="C2" s="63" t="s">
        <v>233</v>
      </c>
      <c r="D2" s="63" t="s">
        <v>234</v>
      </c>
      <c r="E2" s="27">
        <v>46080</v>
      </c>
      <c r="F2" s="26" t="s">
        <v>235</v>
      </c>
      <c r="G2" s="19">
        <f t="shared" ref="G2:G5" si="0">E2-28</f>
        <v>46052</v>
      </c>
      <c r="H2" s="28" t="s">
        <v>236</v>
      </c>
      <c r="I2" s="19">
        <f t="shared" ref="I2:I7" si="1">E2-28</f>
        <v>46052</v>
      </c>
      <c r="J2" s="66" t="s">
        <v>237</v>
      </c>
      <c r="K2" s="26" t="s">
        <v>32</v>
      </c>
      <c r="L2" s="26" t="s">
        <v>19</v>
      </c>
    </row>
    <row r="3" spans="1:12">
      <c r="A3" s="6" t="s">
        <v>231</v>
      </c>
      <c r="B3" s="63" t="s">
        <v>232</v>
      </c>
      <c r="C3" s="63" t="s">
        <v>238</v>
      </c>
      <c r="D3" s="63" t="s">
        <v>239</v>
      </c>
      <c r="E3" s="27">
        <v>46080</v>
      </c>
      <c r="F3" s="26" t="s">
        <v>235</v>
      </c>
      <c r="G3" s="19">
        <f t="shared" si="0"/>
        <v>46052</v>
      </c>
      <c r="H3" s="28" t="s">
        <v>236</v>
      </c>
      <c r="I3" s="19">
        <f t="shared" si="1"/>
        <v>46052</v>
      </c>
      <c r="J3" s="66" t="s">
        <v>237</v>
      </c>
      <c r="K3" s="26" t="s">
        <v>32</v>
      </c>
      <c r="L3" s="26" t="s">
        <v>19</v>
      </c>
    </row>
    <row r="4" spans="1:12">
      <c r="A4" s="6" t="s">
        <v>231</v>
      </c>
      <c r="B4" s="63" t="s">
        <v>240</v>
      </c>
      <c r="C4" s="63" t="s">
        <v>233</v>
      </c>
      <c r="D4" s="63" t="s">
        <v>241</v>
      </c>
      <c r="E4" s="27">
        <v>46080</v>
      </c>
      <c r="F4" s="26" t="s">
        <v>235</v>
      </c>
      <c r="G4" s="19">
        <f t="shared" si="0"/>
        <v>46052</v>
      </c>
      <c r="H4" s="28" t="s">
        <v>236</v>
      </c>
      <c r="I4" s="19">
        <f t="shared" si="1"/>
        <v>46052</v>
      </c>
      <c r="J4" s="66" t="s">
        <v>237</v>
      </c>
      <c r="K4" s="26" t="s">
        <v>32</v>
      </c>
      <c r="L4" s="26" t="s">
        <v>19</v>
      </c>
    </row>
    <row r="5" spans="1:12">
      <c r="A5" s="6" t="s">
        <v>231</v>
      </c>
      <c r="B5" s="63" t="s">
        <v>240</v>
      </c>
      <c r="C5" s="63" t="s">
        <v>242</v>
      </c>
      <c r="D5" s="63" t="s">
        <v>243</v>
      </c>
      <c r="E5" s="27">
        <v>46080</v>
      </c>
      <c r="F5" s="26" t="s">
        <v>235</v>
      </c>
      <c r="G5" s="19">
        <f t="shared" si="0"/>
        <v>46052</v>
      </c>
      <c r="H5" s="28" t="s">
        <v>236</v>
      </c>
      <c r="I5" s="19">
        <f t="shared" si="1"/>
        <v>46052</v>
      </c>
      <c r="J5" s="66" t="s">
        <v>237</v>
      </c>
      <c r="K5" s="26" t="s">
        <v>32</v>
      </c>
      <c r="L5" s="26" t="s">
        <v>19</v>
      </c>
    </row>
    <row r="6" spans="1:12">
      <c r="A6" s="6" t="s">
        <v>231</v>
      </c>
      <c r="B6" s="63" t="s">
        <v>244</v>
      </c>
      <c r="C6" s="63" t="s">
        <v>245</v>
      </c>
      <c r="D6" s="63" t="s">
        <v>246</v>
      </c>
      <c r="E6" s="27">
        <v>46083</v>
      </c>
      <c r="F6" s="26" t="s">
        <v>247</v>
      </c>
      <c r="G6" s="19">
        <f>E6-28</f>
        <v>46055</v>
      </c>
      <c r="H6" s="28"/>
      <c r="I6" s="19">
        <f t="shared" si="1"/>
        <v>46055</v>
      </c>
      <c r="J6" s="66" t="s">
        <v>237</v>
      </c>
      <c r="K6" s="26" t="s">
        <v>32</v>
      </c>
      <c r="L6" s="26" t="s">
        <v>19</v>
      </c>
    </row>
    <row r="7" spans="1:12">
      <c r="A7" s="6" t="s">
        <v>231</v>
      </c>
      <c r="B7" s="63" t="s">
        <v>244</v>
      </c>
      <c r="C7" s="63" t="s">
        <v>248</v>
      </c>
      <c r="D7" s="63" t="s">
        <v>249</v>
      </c>
      <c r="E7" s="27">
        <v>46083</v>
      </c>
      <c r="F7" s="26" t="s">
        <v>247</v>
      </c>
      <c r="G7" s="19">
        <f>E7-28</f>
        <v>46055</v>
      </c>
      <c r="H7" s="28"/>
      <c r="I7" s="19">
        <f t="shared" si="1"/>
        <v>46055</v>
      </c>
      <c r="J7" s="66" t="s">
        <v>237</v>
      </c>
      <c r="K7" s="26" t="s">
        <v>32</v>
      </c>
      <c r="L7" s="26" t="s">
        <v>19</v>
      </c>
    </row>
    <row r="8" spans="1:12" ht="30.75" customHeight="1">
      <c r="A8" s="6" t="s">
        <v>231</v>
      </c>
      <c r="B8" s="63" t="s">
        <v>250</v>
      </c>
      <c r="C8" s="63" t="s">
        <v>251</v>
      </c>
      <c r="D8" s="63" t="s">
        <v>252</v>
      </c>
      <c r="E8" s="27">
        <v>46112</v>
      </c>
      <c r="F8" s="26" t="s">
        <v>253</v>
      </c>
      <c r="G8" s="19">
        <f t="shared" ref="G8:G18" si="2">E8-28</f>
        <v>46084</v>
      </c>
      <c r="H8" s="19"/>
      <c r="I8" s="19">
        <f t="shared" ref="I8:I18" si="3">E8-28</f>
        <v>46084</v>
      </c>
      <c r="J8" s="66" t="s">
        <v>237</v>
      </c>
      <c r="K8" s="26" t="s">
        <v>32</v>
      </c>
      <c r="L8" s="26" t="s">
        <v>19</v>
      </c>
    </row>
    <row r="9" spans="1:12" ht="18" customHeight="1">
      <c r="A9" s="6" t="s">
        <v>231</v>
      </c>
      <c r="B9" s="63" t="s">
        <v>254</v>
      </c>
      <c r="C9" s="63" t="s">
        <v>255</v>
      </c>
      <c r="D9" s="63" t="s">
        <v>256</v>
      </c>
      <c r="E9" s="27">
        <v>46112</v>
      </c>
      <c r="F9" s="26" t="s">
        <v>247</v>
      </c>
      <c r="G9" s="19">
        <f>E9-28</f>
        <v>46084</v>
      </c>
      <c r="H9" s="28" t="s">
        <v>236</v>
      </c>
      <c r="I9" s="19">
        <f t="shared" si="3"/>
        <v>46084</v>
      </c>
      <c r="J9" s="66" t="s">
        <v>237</v>
      </c>
      <c r="K9" s="26" t="s">
        <v>32</v>
      </c>
      <c r="L9" s="26" t="s">
        <v>19</v>
      </c>
    </row>
    <row r="10" spans="1:12" ht="18" customHeight="1">
      <c r="A10" s="6" t="s">
        <v>231</v>
      </c>
      <c r="B10" s="63" t="s">
        <v>254</v>
      </c>
      <c r="C10" s="63" t="s">
        <v>257</v>
      </c>
      <c r="D10" s="63" t="s">
        <v>258</v>
      </c>
      <c r="E10" s="27">
        <v>46112</v>
      </c>
      <c r="F10" s="26" t="s">
        <v>247</v>
      </c>
      <c r="G10" s="19">
        <f>E10-28</f>
        <v>46084</v>
      </c>
      <c r="H10" s="29" t="s">
        <v>236</v>
      </c>
      <c r="I10" s="19">
        <f t="shared" si="3"/>
        <v>46084</v>
      </c>
      <c r="J10" s="66" t="s">
        <v>237</v>
      </c>
      <c r="K10" s="26" t="s">
        <v>32</v>
      </c>
      <c r="L10" s="26" t="s">
        <v>19</v>
      </c>
    </row>
    <row r="11" spans="1:12" ht="15.6" customHeight="1">
      <c r="A11" s="6" t="s">
        <v>231</v>
      </c>
      <c r="B11" s="63" t="s">
        <v>259</v>
      </c>
      <c r="C11" s="63" t="s">
        <v>260</v>
      </c>
      <c r="D11" s="63" t="s">
        <v>261</v>
      </c>
      <c r="E11" s="22">
        <v>46142</v>
      </c>
      <c r="F11" s="26" t="s">
        <v>262</v>
      </c>
      <c r="G11" s="19">
        <f>E11-28</f>
        <v>46114</v>
      </c>
      <c r="H11" s="19"/>
      <c r="I11" s="19">
        <f>E11-28</f>
        <v>46114</v>
      </c>
      <c r="J11" s="66" t="s">
        <v>237</v>
      </c>
      <c r="K11" s="26" t="s">
        <v>32</v>
      </c>
      <c r="L11" s="26" t="s">
        <v>19</v>
      </c>
    </row>
    <row r="12" spans="1:12" ht="15.6" customHeight="1">
      <c r="A12" s="6" t="s">
        <v>231</v>
      </c>
      <c r="B12" s="63" t="s">
        <v>259</v>
      </c>
      <c r="C12" s="63" t="s">
        <v>263</v>
      </c>
      <c r="D12" s="63" t="s">
        <v>264</v>
      </c>
      <c r="E12" s="22">
        <v>46142</v>
      </c>
      <c r="F12" s="26" t="s">
        <v>262</v>
      </c>
      <c r="G12" s="19">
        <f>E12-28</f>
        <v>46114</v>
      </c>
      <c r="H12" s="19"/>
      <c r="I12" s="19">
        <f>E12-28</f>
        <v>46114</v>
      </c>
      <c r="J12" s="66" t="s">
        <v>237</v>
      </c>
      <c r="K12" s="26" t="s">
        <v>32</v>
      </c>
      <c r="L12" s="26" t="s">
        <v>19</v>
      </c>
    </row>
    <row r="13" spans="1:12" ht="15.6" customHeight="1">
      <c r="A13" s="6" t="s">
        <v>231</v>
      </c>
      <c r="B13" s="71" t="s">
        <v>265</v>
      </c>
      <c r="C13" s="71" t="s">
        <v>266</v>
      </c>
      <c r="D13" s="71" t="s">
        <v>267</v>
      </c>
      <c r="E13" s="22">
        <v>46112</v>
      </c>
      <c r="F13" s="26" t="s">
        <v>268</v>
      </c>
      <c r="G13" s="19">
        <f t="shared" ref="G13:G14" si="4">E13-28</f>
        <v>46084</v>
      </c>
      <c r="H13" s="19"/>
      <c r="I13" s="19">
        <f t="shared" ref="I13:I14" si="5">E13-28</f>
        <v>46084</v>
      </c>
      <c r="J13" s="66" t="s">
        <v>237</v>
      </c>
      <c r="K13" s="26" t="s">
        <v>32</v>
      </c>
      <c r="L13" s="26" t="s">
        <v>19</v>
      </c>
    </row>
    <row r="14" spans="1:12" ht="15.6" customHeight="1">
      <c r="A14" s="6" t="s">
        <v>231</v>
      </c>
      <c r="B14" s="71" t="s">
        <v>269</v>
      </c>
      <c r="C14" s="71" t="s">
        <v>266</v>
      </c>
      <c r="D14" s="71" t="s">
        <v>270</v>
      </c>
      <c r="E14" s="22">
        <v>46203</v>
      </c>
      <c r="F14" s="26" t="s">
        <v>268</v>
      </c>
      <c r="G14" s="19">
        <f t="shared" si="4"/>
        <v>46175</v>
      </c>
      <c r="H14" s="19"/>
      <c r="I14" s="19">
        <f t="shared" si="5"/>
        <v>46175</v>
      </c>
      <c r="J14" s="66" t="s">
        <v>237</v>
      </c>
      <c r="K14" s="26" t="s">
        <v>32</v>
      </c>
      <c r="L14" s="26" t="s">
        <v>19</v>
      </c>
    </row>
    <row r="15" spans="1:12" ht="15.6" customHeight="1">
      <c r="A15" s="6" t="s">
        <v>271</v>
      </c>
      <c r="B15" s="63" t="s">
        <v>272</v>
      </c>
      <c r="C15" s="63" t="s">
        <v>273</v>
      </c>
      <c r="D15" s="63" t="s">
        <v>274</v>
      </c>
      <c r="E15" s="42">
        <v>46074</v>
      </c>
      <c r="F15" s="26" t="s">
        <v>275</v>
      </c>
      <c r="G15" s="19">
        <f t="shared" si="2"/>
        <v>46046</v>
      </c>
      <c r="H15" s="19"/>
      <c r="I15" s="19">
        <f t="shared" si="3"/>
        <v>46046</v>
      </c>
      <c r="J15" s="66" t="s">
        <v>237</v>
      </c>
      <c r="K15" s="26" t="s">
        <v>18</v>
      </c>
      <c r="L15" s="26" t="s">
        <v>19</v>
      </c>
    </row>
    <row r="16" spans="1:12" ht="15.6" customHeight="1">
      <c r="A16" s="6" t="s">
        <v>276</v>
      </c>
      <c r="B16" s="63" t="s">
        <v>277</v>
      </c>
      <c r="C16" s="63" t="s">
        <v>278</v>
      </c>
      <c r="D16" s="63" t="s">
        <v>279</v>
      </c>
      <c r="E16" s="43">
        <v>46074</v>
      </c>
      <c r="F16" s="26" t="s">
        <v>275</v>
      </c>
      <c r="G16" s="19">
        <f t="shared" si="2"/>
        <v>46046</v>
      </c>
      <c r="H16" s="30"/>
      <c r="I16" s="19">
        <f t="shared" si="3"/>
        <v>46046</v>
      </c>
      <c r="J16" s="66" t="s">
        <v>237</v>
      </c>
      <c r="K16" s="26" t="s">
        <v>18</v>
      </c>
      <c r="L16" s="26" t="s">
        <v>19</v>
      </c>
    </row>
    <row r="17" spans="1:12" ht="15.6" customHeight="1">
      <c r="A17" s="6" t="s">
        <v>276</v>
      </c>
      <c r="B17" s="63" t="s">
        <v>280</v>
      </c>
      <c r="C17" s="63" t="s">
        <v>281</v>
      </c>
      <c r="D17" s="63" t="s">
        <v>282</v>
      </c>
      <c r="E17" s="43">
        <v>46091</v>
      </c>
      <c r="F17" s="26" t="s">
        <v>283</v>
      </c>
      <c r="G17" s="19">
        <f t="shared" si="2"/>
        <v>46063</v>
      </c>
      <c r="H17" s="30"/>
      <c r="I17" s="19">
        <f t="shared" si="3"/>
        <v>46063</v>
      </c>
      <c r="J17" s="66" t="s">
        <v>237</v>
      </c>
      <c r="K17" s="26" t="s">
        <v>18</v>
      </c>
      <c r="L17" s="26" t="s">
        <v>19</v>
      </c>
    </row>
    <row r="18" spans="1:12" ht="15.6" customHeight="1">
      <c r="A18" s="6" t="s">
        <v>276</v>
      </c>
      <c r="B18" s="63" t="s">
        <v>284</v>
      </c>
      <c r="C18" s="63" t="s">
        <v>285</v>
      </c>
      <c r="D18" s="63" t="s">
        <v>286</v>
      </c>
      <c r="E18" s="44">
        <v>46091</v>
      </c>
      <c r="F18" s="26" t="s">
        <v>283</v>
      </c>
      <c r="G18" s="30">
        <f t="shared" si="2"/>
        <v>46063</v>
      </c>
      <c r="H18" s="30"/>
      <c r="I18" s="30">
        <f t="shared" si="3"/>
        <v>46063</v>
      </c>
      <c r="J18" s="66" t="s">
        <v>237</v>
      </c>
      <c r="K18" s="26" t="s">
        <v>18</v>
      </c>
      <c r="L18" s="26" t="s">
        <v>19</v>
      </c>
    </row>
    <row r="19" spans="1:12">
      <c r="A19" s="6" t="s">
        <v>276</v>
      </c>
      <c r="B19" s="71" t="s">
        <v>287</v>
      </c>
      <c r="C19" s="71" t="s">
        <v>288</v>
      </c>
      <c r="D19" s="71" t="s">
        <v>289</v>
      </c>
      <c r="E19" s="44">
        <v>46112</v>
      </c>
      <c r="F19" s="26" t="s">
        <v>268</v>
      </c>
      <c r="G19" s="30">
        <f t="shared" ref="G19:G25" si="6">E19-28</f>
        <v>46084</v>
      </c>
      <c r="H19" s="30"/>
      <c r="I19" s="30">
        <f t="shared" ref="I19:I25" si="7">E19-28</f>
        <v>46084</v>
      </c>
      <c r="J19" s="66" t="s">
        <v>237</v>
      </c>
      <c r="K19" s="67" t="s">
        <v>18</v>
      </c>
      <c r="L19" s="64" t="s">
        <v>19</v>
      </c>
    </row>
    <row r="20" spans="1:12">
      <c r="A20" s="6" t="s">
        <v>276</v>
      </c>
      <c r="B20" s="71" t="s">
        <v>290</v>
      </c>
      <c r="C20" s="71" t="s">
        <v>291</v>
      </c>
      <c r="D20" s="71" t="s">
        <v>292</v>
      </c>
      <c r="E20" s="44">
        <v>46112</v>
      </c>
      <c r="F20" s="26" t="s">
        <v>268</v>
      </c>
      <c r="G20" s="30">
        <f t="shared" si="6"/>
        <v>46084</v>
      </c>
      <c r="H20" s="30"/>
      <c r="I20" s="30">
        <f t="shared" si="7"/>
        <v>46084</v>
      </c>
      <c r="J20" s="66" t="s">
        <v>237</v>
      </c>
      <c r="K20" s="67" t="s">
        <v>18</v>
      </c>
      <c r="L20" s="64" t="s">
        <v>19</v>
      </c>
    </row>
    <row r="21" spans="1:12">
      <c r="A21" s="6" t="s">
        <v>276</v>
      </c>
      <c r="B21" s="71" t="s">
        <v>293</v>
      </c>
      <c r="C21" s="71" t="s">
        <v>288</v>
      </c>
      <c r="D21" s="71" t="s">
        <v>294</v>
      </c>
      <c r="E21" s="44">
        <v>46203</v>
      </c>
      <c r="F21" s="26" t="s">
        <v>268</v>
      </c>
      <c r="G21" s="30">
        <f t="shared" si="6"/>
        <v>46175</v>
      </c>
      <c r="H21" s="30"/>
      <c r="I21" s="30">
        <f t="shared" si="7"/>
        <v>46175</v>
      </c>
      <c r="J21" s="66" t="s">
        <v>237</v>
      </c>
      <c r="K21" s="67" t="s">
        <v>18</v>
      </c>
      <c r="L21" s="64" t="s">
        <v>19</v>
      </c>
    </row>
    <row r="22" spans="1:12">
      <c r="A22" s="6" t="s">
        <v>276</v>
      </c>
      <c r="B22" s="71" t="s">
        <v>295</v>
      </c>
      <c r="C22" s="71" t="s">
        <v>291</v>
      </c>
      <c r="D22" s="71" t="s">
        <v>296</v>
      </c>
      <c r="E22" s="44">
        <v>46203</v>
      </c>
      <c r="F22" s="26" t="s">
        <v>268</v>
      </c>
      <c r="G22" s="30">
        <f t="shared" si="6"/>
        <v>46175</v>
      </c>
      <c r="H22" s="30"/>
      <c r="I22" s="30">
        <f t="shared" si="7"/>
        <v>46175</v>
      </c>
      <c r="J22" s="66" t="s">
        <v>237</v>
      </c>
      <c r="K22" s="67" t="s">
        <v>18</v>
      </c>
      <c r="L22" s="64" t="s">
        <v>19</v>
      </c>
    </row>
    <row r="23" spans="1:12" ht="42.75">
      <c r="A23" s="6" t="s">
        <v>297</v>
      </c>
      <c r="B23" s="63" t="s">
        <v>298</v>
      </c>
      <c r="C23" s="63" t="s">
        <v>299</v>
      </c>
      <c r="D23" s="63" t="s">
        <v>300</v>
      </c>
      <c r="E23" s="44">
        <v>46112</v>
      </c>
      <c r="F23" s="26" t="s">
        <v>301</v>
      </c>
      <c r="G23" s="30">
        <f t="shared" si="6"/>
        <v>46084</v>
      </c>
      <c r="H23" s="30"/>
      <c r="I23" s="30">
        <f t="shared" si="7"/>
        <v>46084</v>
      </c>
      <c r="J23" s="66" t="s">
        <v>237</v>
      </c>
      <c r="K23" s="68" t="s">
        <v>18</v>
      </c>
      <c r="L23" s="65" t="s">
        <v>19</v>
      </c>
    </row>
    <row r="24" spans="1:12" ht="42.75">
      <c r="A24" s="6" t="s">
        <v>297</v>
      </c>
      <c r="B24" s="63" t="s">
        <v>302</v>
      </c>
      <c r="C24" s="63" t="s">
        <v>303</v>
      </c>
      <c r="D24" s="63" t="s">
        <v>304</v>
      </c>
      <c r="E24" s="44">
        <v>46112</v>
      </c>
      <c r="F24" s="26" t="s">
        <v>301</v>
      </c>
      <c r="G24" s="30">
        <f t="shared" si="6"/>
        <v>46084</v>
      </c>
      <c r="H24" s="30"/>
      <c r="I24" s="30">
        <f t="shared" si="7"/>
        <v>46084</v>
      </c>
      <c r="J24" s="66" t="s">
        <v>237</v>
      </c>
      <c r="K24" s="68" t="s">
        <v>18</v>
      </c>
      <c r="L24" s="65" t="s">
        <v>19</v>
      </c>
    </row>
    <row r="25" spans="1:12" ht="28.5">
      <c r="A25" s="6" t="s">
        <v>297</v>
      </c>
      <c r="B25" s="63" t="s">
        <v>305</v>
      </c>
      <c r="C25" s="63" t="s">
        <v>306</v>
      </c>
      <c r="D25" s="63" t="s">
        <v>307</v>
      </c>
      <c r="E25" s="44">
        <v>46112</v>
      </c>
      <c r="F25" s="70" t="s">
        <v>283</v>
      </c>
      <c r="G25" s="69">
        <f t="shared" si="6"/>
        <v>46084</v>
      </c>
      <c r="H25" s="69"/>
      <c r="I25" s="69">
        <f t="shared" si="7"/>
        <v>46084</v>
      </c>
      <c r="J25" s="66" t="s">
        <v>237</v>
      </c>
      <c r="K25" s="68" t="s">
        <v>18</v>
      </c>
      <c r="L25" s="65" t="s">
        <v>19</v>
      </c>
    </row>
  </sheetData>
  <autoFilter ref="A1:N18" xr:uid="{E983967D-98C2-423B-8CF6-910DCFFDCC62}"/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f95229-8871-4865-86fe-21d4a426da58}" enabled="1" method="Standar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</vt:lpstr>
      <vt:lpstr>DT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Chuang, Gary</dc:creator>
  <cp:keywords/>
  <dc:description/>
  <cp:lastModifiedBy>Gurden, Clark</cp:lastModifiedBy>
  <cp:revision/>
  <dcterms:created xsi:type="dcterms:W3CDTF">2020-03-23T02:38:50Z</dcterms:created>
  <dcterms:modified xsi:type="dcterms:W3CDTF">2026-02-09T03:54:09Z</dcterms:modified>
  <cp:category/>
  <cp:contentStatus/>
</cp:coreProperties>
</file>